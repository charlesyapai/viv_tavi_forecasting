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n/Downloads/"/>
    </mc:Choice>
  </mc:AlternateContent>
  <xr:revisionPtr revIDLastSave="0" documentId="13_ncr:1_{8BFFE8D3-2017-C749-8B93-98D993DFC31D}" xr6:coauthVersionLast="47" xr6:coauthVersionMax="47" xr10:uidLastSave="{00000000-0000-0000-0000-000000000000}"/>
  <bookViews>
    <workbookView xWindow="4040" yWindow="460" windowWidth="28800" windowHeight="16440" activeTab="3" xr2:uid="{FFBECFA5-17ED-450C-BB40-3A977BDA48C2}"/>
  </bookViews>
  <sheets>
    <sheet name="TAVI volume" sheetId="2" r:id="rId1"/>
    <sheet name="TAVI STS score distribution" sheetId="4" r:id="rId2"/>
    <sheet name="SAVR volume" sheetId="5" r:id="rId3"/>
    <sheet name="Redo SAVR volum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4" i="6" l="1"/>
  <c r="D44" i="6"/>
  <c r="E44" i="6"/>
  <c r="F44" i="6"/>
  <c r="G44" i="6"/>
  <c r="H44" i="6"/>
  <c r="I44" i="6"/>
  <c r="J44" i="6"/>
  <c r="K44" i="6"/>
  <c r="L44" i="6"/>
  <c r="M44" i="6"/>
  <c r="N44" i="6"/>
  <c r="O44" i="6"/>
  <c r="C44" i="2"/>
  <c r="D44" i="2"/>
  <c r="F44" i="2"/>
  <c r="G44" i="2"/>
  <c r="M44" i="2" l="1"/>
  <c r="E44" i="2"/>
  <c r="L44" i="2"/>
  <c r="K44" i="2"/>
  <c r="J44" i="2"/>
  <c r="I44" i="2"/>
  <c r="H44" i="2"/>
</calcChain>
</file>

<file path=xl/sharedStrings.xml><?xml version="1.0" encoding="utf-8"?>
<sst xmlns="http://schemas.openxmlformats.org/spreadsheetml/2006/main" count="239" uniqueCount="58">
  <si>
    <t>Sex</t>
    <phoneticPr fontId="1" type="noConversion"/>
  </si>
  <si>
    <t>Men</t>
    <phoneticPr fontId="1" type="noConversion"/>
  </si>
  <si>
    <t>Women</t>
    <phoneticPr fontId="1" type="noConversion"/>
  </si>
  <si>
    <t>Age group</t>
    <phoneticPr fontId="1" type="noConversion"/>
  </si>
  <si>
    <t>Year</t>
    <phoneticPr fontId="1" type="noConversion"/>
  </si>
  <si>
    <t>&lt;5yr</t>
    <phoneticPr fontId="1" type="noConversion"/>
  </si>
  <si>
    <t>5-9</t>
    <phoneticPr fontId="1" type="noConversion"/>
  </si>
  <si>
    <t>10-14</t>
    <phoneticPr fontId="1" type="noConversion"/>
  </si>
  <si>
    <t>15-19</t>
    <phoneticPr fontId="1" type="noConversion"/>
  </si>
  <si>
    <t>20-24</t>
    <phoneticPr fontId="1" type="noConversion"/>
  </si>
  <si>
    <t>25-29</t>
    <phoneticPr fontId="1" type="noConversion"/>
  </si>
  <si>
    <t>30-34</t>
    <phoneticPr fontId="1" type="noConversion"/>
  </si>
  <si>
    <t>35-39</t>
    <phoneticPr fontId="1" type="noConversion"/>
  </si>
  <si>
    <t>40-44</t>
    <phoneticPr fontId="1" type="noConversion"/>
  </si>
  <si>
    <t>45-49</t>
    <phoneticPr fontId="1" type="noConversion"/>
  </si>
  <si>
    <t>50-54</t>
    <phoneticPr fontId="1" type="noConversion"/>
  </si>
  <si>
    <t>55-59</t>
    <phoneticPr fontId="1" type="noConversion"/>
  </si>
  <si>
    <t>65-69</t>
    <phoneticPr fontId="1" type="noConversion"/>
  </si>
  <si>
    <t>70-74</t>
    <phoneticPr fontId="1" type="noConversion"/>
  </si>
  <si>
    <t>60-64</t>
    <phoneticPr fontId="1" type="noConversion"/>
  </si>
  <si>
    <t>75-79</t>
    <phoneticPr fontId="1" type="noConversion"/>
  </si>
  <si>
    <t>&gt;=80</t>
    <phoneticPr fontId="1" type="noConversion"/>
  </si>
  <si>
    <t>Subtotal</t>
    <phoneticPr fontId="1" type="noConversion"/>
  </si>
  <si>
    <t>Total</t>
    <phoneticPr fontId="1" type="noConversion"/>
  </si>
  <si>
    <t>Number of patients who recevied TAVI (n)</t>
    <phoneticPr fontId="1" type="noConversion"/>
  </si>
  <si>
    <t>STS score of TAVI patients (n)</t>
    <phoneticPr fontId="1" type="noConversion"/>
  </si>
  <si>
    <t>Total (n)</t>
    <phoneticPr fontId="1" type="noConversion"/>
  </si>
  <si>
    <t>Low (n)</t>
    <phoneticPr fontId="1" type="noConversion"/>
  </si>
  <si>
    <t>Intermediate (n)</t>
    <phoneticPr fontId="1" type="noConversion"/>
  </si>
  <si>
    <t>High (n)</t>
    <phoneticPr fontId="1" type="noConversion"/>
  </si>
  <si>
    <t>Missing STS</t>
  </si>
  <si>
    <t xml:space="preserve"> </t>
  </si>
  <si>
    <t>Total</t>
    <phoneticPr fontId="2" type="noConversion"/>
  </si>
  <si>
    <t>Subtotal</t>
    <phoneticPr fontId="2" type="noConversion"/>
  </si>
  <si>
    <t>Women</t>
    <phoneticPr fontId="2" type="noConversion"/>
  </si>
  <si>
    <t>&gt;=80</t>
    <phoneticPr fontId="2" type="noConversion"/>
  </si>
  <si>
    <t>75-79</t>
    <phoneticPr fontId="2" type="noConversion"/>
  </si>
  <si>
    <t>70-74</t>
    <phoneticPr fontId="2" type="noConversion"/>
  </si>
  <si>
    <t>65-69</t>
    <phoneticPr fontId="2" type="noConversion"/>
  </si>
  <si>
    <t>60-64</t>
    <phoneticPr fontId="2" type="noConversion"/>
  </si>
  <si>
    <t>55-59</t>
    <phoneticPr fontId="2" type="noConversion"/>
  </si>
  <si>
    <t>50-54</t>
    <phoneticPr fontId="2" type="noConversion"/>
  </si>
  <si>
    <t>45-49</t>
    <phoneticPr fontId="2" type="noConversion"/>
  </si>
  <si>
    <t>40-44</t>
    <phoneticPr fontId="2" type="noConversion"/>
  </si>
  <si>
    <t>35-39</t>
    <phoneticPr fontId="2" type="noConversion"/>
  </si>
  <si>
    <t>30-34</t>
    <phoneticPr fontId="2" type="noConversion"/>
  </si>
  <si>
    <t>25-29</t>
    <phoneticPr fontId="2" type="noConversion"/>
  </si>
  <si>
    <t>20-24</t>
    <phoneticPr fontId="2" type="noConversion"/>
  </si>
  <si>
    <t>15-19</t>
    <phoneticPr fontId="2" type="noConversion"/>
  </si>
  <si>
    <t>10-14</t>
    <phoneticPr fontId="2" type="noConversion"/>
  </si>
  <si>
    <t>5-9</t>
    <phoneticPr fontId="2" type="noConversion"/>
  </si>
  <si>
    <t>&lt;5yr</t>
    <phoneticPr fontId="2" type="noConversion"/>
  </si>
  <si>
    <t>Men</t>
    <phoneticPr fontId="2" type="noConversion"/>
  </si>
  <si>
    <t>Age group</t>
    <phoneticPr fontId="2" type="noConversion"/>
  </si>
  <si>
    <t>Sex</t>
    <phoneticPr fontId="2" type="noConversion"/>
  </si>
  <si>
    <t>Year</t>
    <phoneticPr fontId="2" type="noConversion"/>
  </si>
  <si>
    <t>Number of patients who recevied SAVR (n)</t>
    <phoneticPr fontId="2" type="noConversion"/>
  </si>
  <si>
    <t>Number of patients who recevied Redo-SAVR (n)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</si>
</sst>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charset val="129"/>
      <scheme val="minor"/>
    </font>
    <font>
      <b/>
      <sz val="12"/>
      <color rgb="FF222222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 applyFont="1" applyAlignment="1">
      <alignment horizontal="right" vertical="justify" wrapText="1"/>
    </xf>
    <xf numFmtId="3" fontId="4" fillId="0" borderId="0" xfId="1" applyNumberFormat="1" applyFont="1">
      <alignment vertical="center"/>
    </xf>
    <xf numFmtId="0" fontId="3" fillId="3" borderId="0" xfId="0" applyFont="1" applyFill="1">
      <alignment vertical="center"/>
    </xf>
    <xf numFmtId="49" fontId="3" fillId="0" borderId="0" xfId="0" applyNumberFormat="1" applyFont="1">
      <alignment vertical="center"/>
    </xf>
    <xf numFmtId="3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7" fillId="0" borderId="0" xfId="0" applyFont="1">
      <alignment vertical="center"/>
    </xf>
    <xf numFmtId="3" fontId="7" fillId="0" borderId="0" xfId="0" applyNumberFormat="1" applyFont="1">
      <alignment vertical="center"/>
    </xf>
    <xf numFmtId="3" fontId="8" fillId="0" borderId="0" xfId="2" applyNumberFormat="1" applyFont="1">
      <alignment vertical="center"/>
    </xf>
    <xf numFmtId="0" fontId="7" fillId="3" borderId="0" xfId="0" applyFont="1" applyFill="1">
      <alignment vertical="center"/>
    </xf>
    <xf numFmtId="0" fontId="8" fillId="0" borderId="0" xfId="2" applyFont="1" applyAlignment="1">
      <alignment horizontal="right" vertical="justify" wrapText="1"/>
    </xf>
    <xf numFmtId="49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3">
    <cellStyle name="Normal" xfId="0" builtinId="0"/>
    <cellStyle name="표준_M6582 (TAVI volume)" xfId="1" xr:uid="{7926DC4F-6838-4B14-9279-9F278DE46CFB}"/>
    <cellStyle name="표준_O1796 (Redo SAVR volume)" xfId="2" xr:uid="{317F14E6-C392-464F-BA9D-DD9D1BD0C7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
<Relationships xmlns="http://schemas.openxmlformats.org/package/2006/relationships">
  <Relationship Id="rId8" Type="http://schemas.openxmlformats.org/officeDocument/2006/relationships/calcChain" Target="calcChain.xml" />
  <Relationship Id="rId3" Type="http://schemas.openxmlformats.org/officeDocument/2006/relationships/worksheet" Target="worksheets/sheet3.xml" />
  <Relationship Id="rId7" Type="http://schemas.openxmlformats.org/officeDocument/2006/relationships/sharedStrings" Target="sharedStrings.xml" />
  <Relationship Id="rId2" Type="http://schemas.openxmlformats.org/officeDocument/2006/relationships/worksheet" Target="worksheets/sheet2.xml" />
  <Relationship Id="rId1" Type="http://schemas.openxmlformats.org/officeDocument/2006/relationships/worksheet" Target="worksheets/sheet1.xml" />
  <Relationship Id="rId6" Type="http://schemas.openxmlformats.org/officeDocument/2006/relationships/styles" Target="styles.xml" />
  <Relationship Id="rId5" Type="http://schemas.openxmlformats.org/officeDocument/2006/relationships/theme" Target="theme/theme1.xml" />
  <Relationship Id="rId4" Type="http://schemas.openxmlformats.org/officeDocument/2006/relationships/worksheet" Target="worksheets/sheet4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5153-3090-498A-A649-FC116B838BD8}">
  <dimension ref="A1:O44"/>
  <sheetViews>
    <sheetView topLeftCell="A13" workbookViewId="0">
      <selection activeCell="P44" sqref="P44"/>
    </sheetView>
  </sheetViews>
  <sheetFormatPr baseColWidth="10" defaultColWidth="9.1640625" defaultRowHeight="15"/>
  <cols>
    <col min="1" max="16384" width="9.1640625" style="1"/>
  </cols>
  <sheetData>
    <row r="1" spans="1:15">
      <c r="B1" s="8" t="s">
        <v>24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C2" s="7" t="s">
        <v>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>
      <c r="C3" s="1">
        <v>2012</v>
      </c>
      <c r="D3" s="1">
        <v>2013</v>
      </c>
      <c r="E3" s="1">
        <v>2014</v>
      </c>
      <c r="F3" s="1">
        <v>2015</v>
      </c>
      <c r="G3" s="1">
        <v>2016</v>
      </c>
      <c r="H3" s="1">
        <v>2017</v>
      </c>
      <c r="I3" s="1">
        <v>2018</v>
      </c>
      <c r="J3" s="1">
        <v>2019</v>
      </c>
      <c r="K3" s="1">
        <v>2020</v>
      </c>
      <c r="L3" s="1">
        <v>2021</v>
      </c>
      <c r="M3" s="1">
        <v>2022</v>
      </c>
      <c r="N3" s="1">
        <v>2023</v>
      </c>
      <c r="O3" s="1">
        <v>2024</v>
      </c>
    </row>
    <row r="4" spans="1:15">
      <c r="A4" s="1" t="s">
        <v>0</v>
      </c>
      <c r="B4" s="1" t="s">
        <v>3</v>
      </c>
    </row>
    <row r="5" spans="1:15">
      <c r="A5" s="4" t="s">
        <v>1</v>
      </c>
      <c r="B5" s="1" t="s">
        <v>5</v>
      </c>
      <c r="F5" s="2"/>
      <c r="G5" s="2"/>
      <c r="H5" s="2"/>
      <c r="I5" s="2"/>
      <c r="J5" s="2"/>
      <c r="K5" s="2"/>
      <c r="L5" s="2"/>
      <c r="M5" s="2"/>
      <c r="N5" s="2"/>
    </row>
    <row r="6" spans="1:15">
      <c r="A6" s="4" t="s">
        <v>1</v>
      </c>
      <c r="B6" s="5" t="s">
        <v>6</v>
      </c>
      <c r="F6" s="2"/>
      <c r="G6" s="2"/>
      <c r="H6" s="2"/>
      <c r="I6" s="2"/>
      <c r="J6" s="2"/>
      <c r="K6" s="2"/>
      <c r="L6" s="2"/>
      <c r="M6" s="2"/>
      <c r="N6" s="2"/>
    </row>
    <row r="7" spans="1:15">
      <c r="A7" s="4" t="s">
        <v>1</v>
      </c>
      <c r="B7" s="5" t="s">
        <v>7</v>
      </c>
      <c r="F7" s="2"/>
      <c r="G7" s="2"/>
      <c r="H7" s="2"/>
      <c r="I7" s="2"/>
      <c r="J7" s="2"/>
      <c r="K7" s="2"/>
      <c r="L7" s="2"/>
      <c r="M7" s="2"/>
      <c r="N7" s="2"/>
    </row>
    <row r="8" spans="1:15">
      <c r="A8" s="4" t="s">
        <v>1</v>
      </c>
      <c r="B8" s="1" t="s">
        <v>8</v>
      </c>
      <c r="F8" s="2"/>
      <c r="G8" s="2"/>
      <c r="H8" s="2"/>
      <c r="I8" s="2"/>
      <c r="J8" s="2"/>
      <c r="K8" s="2"/>
      <c r="L8" s="2"/>
      <c r="M8" s="2"/>
      <c r="N8" s="2"/>
    </row>
    <row r="9" spans="1:15">
      <c r="A9" s="4" t="s">
        <v>1</v>
      </c>
      <c r="B9" s="1" t="s">
        <v>9</v>
      </c>
      <c r="F9" s="2"/>
      <c r="G9" s="2"/>
      <c r="H9" s="2"/>
      <c r="I9" s="2"/>
      <c r="J9" s="2"/>
      <c r="K9" s="2"/>
      <c r="L9" s="2"/>
      <c r="M9" s="2"/>
      <c r="N9" s="2"/>
    </row>
    <row r="10" spans="1:15">
      <c r="A10" s="4" t="s">
        <v>1</v>
      </c>
      <c r="B10" s="1" t="s">
        <v>10</v>
      </c>
      <c r="F10" s="2"/>
      <c r="G10" s="2"/>
      <c r="H10" s="2"/>
      <c r="I10" s="2"/>
      <c r="J10" s="2"/>
      <c r="K10" s="2"/>
      <c r="L10" s="2"/>
      <c r="M10" s="2"/>
      <c r="N10" s="2"/>
    </row>
    <row r="11" spans="1:15">
      <c r="A11" s="4" t="s">
        <v>1</v>
      </c>
      <c r="B11" s="1" t="s">
        <v>11</v>
      </c>
      <c r="F11" s="2"/>
      <c r="G11" s="2"/>
      <c r="H11" s="2"/>
      <c r="I11" s="2"/>
      <c r="J11" s="2"/>
      <c r="K11" s="2"/>
      <c r="L11" s="2"/>
      <c r="M11" s="2"/>
      <c r="N11" s="2"/>
    </row>
    <row r="12" spans="1:15">
      <c r="A12" s="4" t="s">
        <v>1</v>
      </c>
      <c r="B12" s="1" t="s">
        <v>12</v>
      </c>
      <c r="F12" s="2"/>
      <c r="G12" s="2"/>
      <c r="H12" s="2"/>
      <c r="I12" s="2"/>
      <c r="J12" s="2"/>
      <c r="K12" s="2"/>
      <c r="L12" s="2"/>
      <c r="M12" s="2"/>
      <c r="N12" s="2"/>
    </row>
    <row r="13" spans="1:15">
      <c r="A13" s="4" t="s">
        <v>1</v>
      </c>
      <c r="B13" s="1" t="s">
        <v>13</v>
      </c>
      <c r="F13" s="2"/>
      <c r="G13" s="2"/>
      <c r="H13" s="2"/>
      <c r="I13" s="2"/>
      <c r="J13" s="2"/>
      <c r="K13" s="2"/>
      <c r="L13" s="2"/>
      <c r="M13" s="2"/>
      <c r="N13" s="2"/>
    </row>
    <row r="14" spans="1:15">
      <c r="A14" s="4" t="s">
        <v>1</v>
      </c>
      <c r="B14" s="1" t="s">
        <v>14</v>
      </c>
      <c r="F14" s="2"/>
      <c r="G14" s="2"/>
      <c r="H14" s="2"/>
      <c r="I14" s="2"/>
      <c r="J14" s="2"/>
      <c r="K14" s="2"/>
      <c r="L14" s="2"/>
      <c r="M14" s="2"/>
      <c r="N14" s="2"/>
    </row>
    <row r="15" spans="1:15">
      <c r="A15" s="4" t="s">
        <v>1</v>
      </c>
      <c r="B15" s="1" t="s">
        <v>15</v>
      </c>
      <c r="F15" s="2"/>
      <c r="G15" s="2"/>
      <c r="H15" s="2">
        <v>1</v>
      </c>
      <c r="I15" s="3"/>
      <c r="J15" s="2">
        <v>1</v>
      </c>
      <c r="K15" s="2">
        <v>1</v>
      </c>
      <c r="L15" s="3"/>
      <c r="M15" s="2"/>
      <c r="N15" s="2"/>
    </row>
    <row r="16" spans="1:15">
      <c r="A16" s="4" t="s">
        <v>1</v>
      </c>
      <c r="B16" s="1" t="s">
        <v>16</v>
      </c>
      <c r="E16" s="1">
        <v>1</v>
      </c>
      <c r="F16" s="2"/>
      <c r="G16" s="3"/>
      <c r="H16" s="2"/>
      <c r="I16" s="3"/>
      <c r="J16" s="3"/>
      <c r="K16" s="3">
        <v>1</v>
      </c>
      <c r="M16" s="3">
        <v>1</v>
      </c>
      <c r="N16" s="3"/>
      <c r="O16" s="1">
        <v>1</v>
      </c>
    </row>
    <row r="17" spans="1:15">
      <c r="A17" s="4" t="s">
        <v>1</v>
      </c>
      <c r="B17" s="1" t="s">
        <v>19</v>
      </c>
      <c r="E17" s="1">
        <v>1</v>
      </c>
      <c r="F17" s="3"/>
      <c r="G17" s="3"/>
      <c r="H17" s="3"/>
      <c r="I17" s="3">
        <v>1</v>
      </c>
      <c r="J17" s="3">
        <v>2</v>
      </c>
      <c r="K17" s="3">
        <v>1</v>
      </c>
      <c r="L17" s="1">
        <v>2</v>
      </c>
      <c r="M17" s="3"/>
      <c r="N17" s="3">
        <v>1</v>
      </c>
      <c r="O17" s="1">
        <v>1</v>
      </c>
    </row>
    <row r="18" spans="1:15">
      <c r="A18" s="4" t="s">
        <v>1</v>
      </c>
      <c r="B18" s="1" t="s">
        <v>17</v>
      </c>
      <c r="E18" s="1">
        <v>1</v>
      </c>
      <c r="F18" s="3"/>
      <c r="G18" s="3"/>
      <c r="H18" s="3">
        <v>1</v>
      </c>
      <c r="I18" s="3"/>
      <c r="J18" s="3">
        <v>2</v>
      </c>
      <c r="K18" s="3">
        <v>2</v>
      </c>
      <c r="L18" s="3">
        <v>1</v>
      </c>
      <c r="M18" s="3">
        <v>1</v>
      </c>
      <c r="N18" s="3">
        <v>4</v>
      </c>
      <c r="O18" s="1">
        <v>4</v>
      </c>
    </row>
    <row r="19" spans="1:15">
      <c r="A19" s="4" t="s">
        <v>1</v>
      </c>
      <c r="B19" s="1" t="s">
        <v>18</v>
      </c>
      <c r="F19" s="3"/>
      <c r="G19" s="3">
        <v>1</v>
      </c>
      <c r="H19" s="3">
        <v>1</v>
      </c>
      <c r="I19" s="3">
        <v>2</v>
      </c>
      <c r="J19" s="3">
        <v>2</v>
      </c>
      <c r="K19" s="3">
        <v>3</v>
      </c>
      <c r="L19" s="3">
        <v>1</v>
      </c>
      <c r="M19" s="3">
        <v>9</v>
      </c>
      <c r="N19" s="3">
        <v>4</v>
      </c>
      <c r="O19" s="1">
        <v>3</v>
      </c>
    </row>
    <row r="20" spans="1:15">
      <c r="A20" s="4" t="s">
        <v>1</v>
      </c>
      <c r="B20" s="1" t="s">
        <v>20</v>
      </c>
      <c r="D20" s="1">
        <v>1</v>
      </c>
      <c r="E20" s="1">
        <v>1</v>
      </c>
      <c r="F20" s="3">
        <v>2</v>
      </c>
      <c r="G20" s="3">
        <v>1</v>
      </c>
      <c r="H20" s="3"/>
      <c r="I20" s="3">
        <v>2</v>
      </c>
      <c r="J20" s="3">
        <v>3</v>
      </c>
      <c r="K20" s="3">
        <v>3</v>
      </c>
      <c r="L20" s="3">
        <v>5</v>
      </c>
      <c r="M20" s="3">
        <v>3</v>
      </c>
      <c r="N20" s="3">
        <v>10</v>
      </c>
      <c r="O20" s="1">
        <v>10</v>
      </c>
    </row>
    <row r="21" spans="1:15">
      <c r="A21" s="4" t="s">
        <v>1</v>
      </c>
      <c r="B21" s="1" t="s">
        <v>21</v>
      </c>
      <c r="C21" s="1">
        <v>8</v>
      </c>
      <c r="D21" s="1">
        <v>5</v>
      </c>
      <c r="E21" s="1">
        <v>4</v>
      </c>
      <c r="F21" s="3">
        <v>3</v>
      </c>
      <c r="G21" s="3">
        <v>9</v>
      </c>
      <c r="H21" s="3">
        <v>10</v>
      </c>
      <c r="I21" s="3">
        <v>15</v>
      </c>
      <c r="J21" s="3">
        <v>7</v>
      </c>
      <c r="K21" s="3">
        <v>13</v>
      </c>
      <c r="L21" s="3">
        <v>8</v>
      </c>
      <c r="M21" s="3">
        <v>11</v>
      </c>
      <c r="N21" s="3">
        <v>13</v>
      </c>
      <c r="O21" s="1">
        <v>18</v>
      </c>
    </row>
    <row r="22" spans="1:15">
      <c r="A22" s="4" t="s">
        <v>1</v>
      </c>
      <c r="B22" s="1" t="s">
        <v>22</v>
      </c>
      <c r="C22" s="1">
        <v>8</v>
      </c>
      <c r="D22" s="1">
        <v>6</v>
      </c>
      <c r="E22" s="1">
        <v>8</v>
      </c>
      <c r="F22" s="1">
        <v>5</v>
      </c>
      <c r="G22" s="1">
        <v>11</v>
      </c>
      <c r="H22" s="1">
        <v>13</v>
      </c>
      <c r="I22" s="1">
        <v>20</v>
      </c>
      <c r="J22" s="1">
        <v>17</v>
      </c>
      <c r="K22" s="1">
        <v>24</v>
      </c>
      <c r="L22" s="1">
        <v>17</v>
      </c>
      <c r="M22" s="1">
        <v>25</v>
      </c>
      <c r="N22" s="1">
        <v>32</v>
      </c>
      <c r="O22" s="1">
        <v>37</v>
      </c>
    </row>
    <row r="23" spans="1:15">
      <c r="F23" s="6"/>
      <c r="G23" s="6"/>
      <c r="H23" s="6"/>
      <c r="I23" s="6"/>
      <c r="J23" s="6"/>
      <c r="K23" s="6"/>
      <c r="L23" s="6"/>
      <c r="M23" s="6"/>
      <c r="N23" s="6"/>
    </row>
    <row r="25" spans="1:15">
      <c r="A25" s="4" t="s">
        <v>2</v>
      </c>
      <c r="B25" s="1" t="s">
        <v>5</v>
      </c>
      <c r="F25" s="2"/>
      <c r="G25" s="2"/>
      <c r="H25" s="2"/>
      <c r="I25" s="2"/>
      <c r="J25" s="2"/>
      <c r="K25" s="2"/>
      <c r="L25" s="2"/>
      <c r="M25" s="2"/>
      <c r="N25" s="2"/>
    </row>
    <row r="26" spans="1:15">
      <c r="A26" s="4" t="s">
        <v>2</v>
      </c>
      <c r="B26" s="5" t="s">
        <v>6</v>
      </c>
      <c r="F26" s="2"/>
      <c r="G26" s="2"/>
      <c r="H26" s="2"/>
      <c r="I26" s="2"/>
      <c r="J26" s="2"/>
      <c r="K26" s="2"/>
      <c r="L26" s="2"/>
      <c r="M26" s="2"/>
      <c r="N26" s="2"/>
    </row>
    <row r="27" spans="1:15">
      <c r="A27" s="4" t="s">
        <v>2</v>
      </c>
      <c r="B27" s="5" t="s">
        <v>7</v>
      </c>
      <c r="F27" s="2"/>
      <c r="G27" s="2"/>
      <c r="H27" s="2"/>
      <c r="I27" s="2"/>
      <c r="J27" s="2"/>
      <c r="K27" s="2"/>
      <c r="L27" s="2"/>
      <c r="M27" s="2"/>
      <c r="N27" s="2"/>
    </row>
    <row r="28" spans="1:15">
      <c r="A28" s="4" t="s">
        <v>2</v>
      </c>
      <c r="B28" s="1" t="s">
        <v>8</v>
      </c>
      <c r="F28" s="2"/>
      <c r="G28" s="2"/>
      <c r="H28" s="2"/>
      <c r="I28" s="2"/>
      <c r="J28" s="2"/>
      <c r="K28" s="2"/>
      <c r="L28" s="2"/>
      <c r="M28" s="2"/>
      <c r="N28" s="2"/>
    </row>
    <row r="29" spans="1:15">
      <c r="A29" s="4" t="s">
        <v>2</v>
      </c>
      <c r="B29" s="1" t="s">
        <v>9</v>
      </c>
      <c r="F29" s="2"/>
      <c r="G29" s="2"/>
      <c r="H29" s="2"/>
      <c r="I29" s="2"/>
      <c r="J29" s="2"/>
      <c r="K29" s="2"/>
      <c r="L29" s="2"/>
      <c r="M29" s="2"/>
      <c r="N29" s="2"/>
    </row>
    <row r="30" spans="1:15">
      <c r="A30" s="4" t="s">
        <v>2</v>
      </c>
      <c r="B30" s="1" t="s">
        <v>10</v>
      </c>
      <c r="F30" s="2"/>
      <c r="G30" s="2"/>
      <c r="H30" s="2"/>
      <c r="I30" s="2"/>
      <c r="J30" s="2"/>
      <c r="K30" s="2"/>
      <c r="L30" s="2"/>
      <c r="M30" s="2"/>
      <c r="N30" s="2"/>
    </row>
    <row r="31" spans="1:15">
      <c r="A31" s="4" t="s">
        <v>2</v>
      </c>
      <c r="B31" s="1" t="s">
        <v>11</v>
      </c>
      <c r="F31" s="2"/>
      <c r="G31" s="2"/>
      <c r="H31" s="2"/>
      <c r="I31" s="2"/>
      <c r="J31" s="2"/>
      <c r="K31" s="2">
        <v>1</v>
      </c>
      <c r="L31" s="2"/>
      <c r="M31" s="2"/>
      <c r="N31" s="2"/>
    </row>
    <row r="32" spans="1:15">
      <c r="A32" s="4" t="s">
        <v>2</v>
      </c>
      <c r="B32" s="1" t="s">
        <v>12</v>
      </c>
      <c r="F32" s="2"/>
      <c r="G32" s="2"/>
      <c r="H32" s="2">
        <v>1</v>
      </c>
      <c r="I32" s="2"/>
      <c r="J32" s="2"/>
      <c r="K32" s="2"/>
      <c r="L32" s="2"/>
      <c r="M32" s="2"/>
      <c r="N32" s="2"/>
    </row>
    <row r="33" spans="1:15">
      <c r="A33" s="4" t="s">
        <v>2</v>
      </c>
      <c r="B33" s="1" t="s">
        <v>13</v>
      </c>
      <c r="F33" s="2"/>
      <c r="G33" s="2"/>
      <c r="H33" s="2"/>
      <c r="I33" s="2"/>
      <c r="J33" s="2"/>
      <c r="K33" s="2"/>
      <c r="L33" s="2">
        <v>1</v>
      </c>
      <c r="M33" s="2"/>
      <c r="N33" s="2"/>
    </row>
    <row r="34" spans="1:15">
      <c r="A34" s="4" t="s">
        <v>2</v>
      </c>
      <c r="B34" s="1" t="s">
        <v>14</v>
      </c>
      <c r="F34" s="2"/>
      <c r="G34" s="2"/>
      <c r="H34" s="2"/>
      <c r="I34" s="3"/>
      <c r="J34" s="2"/>
      <c r="K34" s="2"/>
      <c r="L34" s="2"/>
      <c r="M34" s="2"/>
      <c r="N34" s="2"/>
      <c r="O34" s="1">
        <v>1</v>
      </c>
    </row>
    <row r="35" spans="1:15">
      <c r="A35" s="4" t="s">
        <v>2</v>
      </c>
      <c r="B35" s="1" t="s">
        <v>15</v>
      </c>
      <c r="F35" s="2"/>
      <c r="G35" s="2"/>
      <c r="H35" s="2"/>
      <c r="I35" s="2"/>
      <c r="J35" s="3"/>
      <c r="K35" s="3"/>
      <c r="L35" s="2">
        <v>1</v>
      </c>
      <c r="M35" s="2"/>
      <c r="N35" s="2"/>
    </row>
    <row r="36" spans="1:15">
      <c r="A36" s="4" t="s">
        <v>2</v>
      </c>
      <c r="B36" s="1" t="s">
        <v>16</v>
      </c>
      <c r="E36" s="1" t="s">
        <v>31</v>
      </c>
      <c r="F36" s="2">
        <v>1</v>
      </c>
      <c r="G36" s="2">
        <v>1</v>
      </c>
      <c r="H36" s="2"/>
      <c r="I36" s="2"/>
      <c r="J36" s="2"/>
      <c r="K36" s="3">
        <v>1</v>
      </c>
      <c r="L36" s="3"/>
      <c r="M36" s="2"/>
      <c r="N36" s="3"/>
      <c r="O36" s="1">
        <v>1</v>
      </c>
    </row>
    <row r="37" spans="1:15">
      <c r="A37" s="4" t="s">
        <v>2</v>
      </c>
      <c r="B37" s="1" t="s">
        <v>19</v>
      </c>
      <c r="F37" s="2"/>
      <c r="G37" s="3"/>
      <c r="H37" s="3">
        <v>1</v>
      </c>
      <c r="I37" s="3">
        <v>1</v>
      </c>
      <c r="J37" s="3">
        <v>1</v>
      </c>
      <c r="K37" s="3">
        <v>2</v>
      </c>
      <c r="L37" s="3">
        <v>1</v>
      </c>
      <c r="M37" s="3"/>
      <c r="N37" s="3"/>
    </row>
    <row r="38" spans="1:15">
      <c r="A38" s="4" t="s">
        <v>2</v>
      </c>
      <c r="B38" s="1" t="s">
        <v>17</v>
      </c>
      <c r="E38" s="1">
        <v>1</v>
      </c>
      <c r="F38" s="3">
        <v>2</v>
      </c>
      <c r="G38" s="3"/>
      <c r="H38" s="3">
        <v>2</v>
      </c>
      <c r="I38" s="3">
        <v>1</v>
      </c>
      <c r="J38" s="3">
        <v>1</v>
      </c>
      <c r="K38" s="3">
        <v>2</v>
      </c>
      <c r="L38" s="3">
        <v>1</v>
      </c>
      <c r="M38" s="3">
        <v>2</v>
      </c>
      <c r="N38" s="3">
        <v>2</v>
      </c>
      <c r="O38" s="1">
        <v>3</v>
      </c>
    </row>
    <row r="39" spans="1:15">
      <c r="A39" s="4" t="s">
        <v>2</v>
      </c>
      <c r="B39" s="1" t="s">
        <v>18</v>
      </c>
      <c r="D39" s="1">
        <v>1</v>
      </c>
      <c r="F39" s="3">
        <v>3</v>
      </c>
      <c r="G39" s="3"/>
      <c r="H39" s="3">
        <v>3</v>
      </c>
      <c r="I39" s="3">
        <v>5</v>
      </c>
      <c r="J39" s="3">
        <v>4</v>
      </c>
      <c r="K39" s="3">
        <v>5</v>
      </c>
      <c r="L39" s="3">
        <v>5</v>
      </c>
      <c r="M39" s="3">
        <v>5</v>
      </c>
      <c r="N39" s="3">
        <v>6</v>
      </c>
      <c r="O39" s="1">
        <v>4</v>
      </c>
    </row>
    <row r="40" spans="1:15">
      <c r="A40" s="4" t="s">
        <v>2</v>
      </c>
      <c r="B40" s="1" t="s">
        <v>20</v>
      </c>
      <c r="C40" s="1">
        <v>2</v>
      </c>
      <c r="D40" s="1">
        <v>1</v>
      </c>
      <c r="F40" s="3"/>
      <c r="G40" s="3">
        <v>2</v>
      </c>
      <c r="H40" s="3">
        <v>3</v>
      </c>
      <c r="I40" s="3">
        <v>1</v>
      </c>
      <c r="J40" s="3">
        <v>4</v>
      </c>
      <c r="K40" s="3">
        <v>5</v>
      </c>
      <c r="L40" s="3">
        <v>5</v>
      </c>
      <c r="M40" s="3">
        <v>10</v>
      </c>
      <c r="N40" s="3">
        <v>7</v>
      </c>
      <c r="O40" s="1">
        <v>5</v>
      </c>
    </row>
    <row r="41" spans="1:15">
      <c r="A41" s="4" t="s">
        <v>2</v>
      </c>
      <c r="B41" s="1" t="s">
        <v>21</v>
      </c>
      <c r="C41" s="1">
        <v>1</v>
      </c>
      <c r="D41" s="1">
        <v>1</v>
      </c>
      <c r="E41" s="1">
        <v>4</v>
      </c>
      <c r="F41" s="3">
        <v>6</v>
      </c>
      <c r="G41" s="3">
        <v>8</v>
      </c>
      <c r="H41" s="3">
        <v>9</v>
      </c>
      <c r="I41" s="3">
        <v>6</v>
      </c>
      <c r="J41" s="3">
        <v>10</v>
      </c>
      <c r="K41" s="3">
        <v>8</v>
      </c>
      <c r="L41" s="3">
        <v>10</v>
      </c>
      <c r="M41" s="3">
        <v>5</v>
      </c>
      <c r="N41" s="3">
        <v>8</v>
      </c>
      <c r="O41" s="1">
        <v>4</v>
      </c>
    </row>
    <row r="42" spans="1:15">
      <c r="A42" s="4" t="s">
        <v>2</v>
      </c>
      <c r="B42" s="1" t="s">
        <v>22</v>
      </c>
      <c r="C42" s="1">
        <v>3</v>
      </c>
      <c r="D42" s="1">
        <v>3</v>
      </c>
      <c r="E42" s="1">
        <v>5</v>
      </c>
      <c r="F42" s="1">
        <v>12</v>
      </c>
      <c r="G42" s="1">
        <v>11</v>
      </c>
      <c r="H42" s="1">
        <v>19</v>
      </c>
      <c r="I42" s="1">
        <v>14</v>
      </c>
      <c r="J42" s="1">
        <v>20</v>
      </c>
      <c r="K42" s="1">
        <v>24</v>
      </c>
      <c r="L42" s="1">
        <v>24</v>
      </c>
      <c r="M42" s="1">
        <v>22</v>
      </c>
      <c r="N42" s="1">
        <v>23</v>
      </c>
      <c r="O42" s="1">
        <v>18</v>
      </c>
    </row>
    <row r="44" spans="1:15">
      <c r="B44" s="1" t="s">
        <v>23</v>
      </c>
      <c r="C44" s="6">
        <f>SUM(C22,C42)</f>
        <v>11</v>
      </c>
      <c r="D44" s="6">
        <f t="shared" ref="D44:M44" si="0">SUM(D22,D42)</f>
        <v>9</v>
      </c>
      <c r="E44" s="6">
        <f t="shared" si="0"/>
        <v>13</v>
      </c>
      <c r="F44" s="6">
        <f t="shared" si="0"/>
        <v>17</v>
      </c>
      <c r="G44" s="6">
        <f t="shared" si="0"/>
        <v>22</v>
      </c>
      <c r="H44" s="6">
        <f t="shared" si="0"/>
        <v>32</v>
      </c>
      <c r="I44" s="6">
        <f t="shared" si="0"/>
        <v>34</v>
      </c>
      <c r="J44" s="6">
        <f t="shared" si="0"/>
        <v>37</v>
      </c>
      <c r="K44" s="6">
        <f t="shared" si="0"/>
        <v>48</v>
      </c>
      <c r="L44" s="6">
        <f t="shared" si="0"/>
        <v>41</v>
      </c>
      <c r="M44" s="6">
        <f t="shared" si="0"/>
        <v>47</v>
      </c>
      <c r="N44" s="6"/>
      <c r="O44" s="6"/>
    </row>
  </sheetData>
  <mergeCells count="2">
    <mergeCell ref="C2:N2"/>
    <mergeCell ref="B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7437-6619-4C76-80F7-4D00EF45161D}">
  <dimension ref="A1:F15"/>
  <sheetViews>
    <sheetView workbookViewId="0">
      <selection activeCell="F13" sqref="F13"/>
    </sheetView>
  </sheetViews>
  <sheetFormatPr baseColWidth="10" defaultColWidth="8.83203125" defaultRowHeight="15"/>
  <cols>
    <col min="1" max="1" width="8.6640625" customWidth="1"/>
    <col min="2" max="2" width="21.6640625" bestFit="1" customWidth="1"/>
    <col min="3" max="3" width="20.1640625" bestFit="1" customWidth="1"/>
    <col min="4" max="4" width="47.1640625" bestFit="1" customWidth="1"/>
    <col min="5" max="5" width="24.5" bestFit="1" customWidth="1"/>
    <col min="6" max="6" width="21.33203125" customWidth="1"/>
  </cols>
  <sheetData>
    <row r="1" spans="1:6">
      <c r="B1" s="9" t="s">
        <v>25</v>
      </c>
      <c r="C1" s="9"/>
      <c r="D1" s="9"/>
      <c r="E1" s="9"/>
      <c r="F1" t="s">
        <v>30</v>
      </c>
    </row>
    <row r="2" spans="1:6">
      <c r="A2" t="s">
        <v>4</v>
      </c>
      <c r="B2" t="s">
        <v>26</v>
      </c>
      <c r="C2" t="s">
        <v>27</v>
      </c>
      <c r="D2" t="s">
        <v>28</v>
      </c>
      <c r="E2" t="s">
        <v>29</v>
      </c>
    </row>
    <row r="3" spans="1:6">
      <c r="A3">
        <v>2012</v>
      </c>
    </row>
    <row r="4" spans="1:6">
      <c r="A4">
        <v>2013</v>
      </c>
    </row>
    <row r="5" spans="1:6">
      <c r="A5">
        <v>2014</v>
      </c>
    </row>
    <row r="6" spans="1:6">
      <c r="A6">
        <v>2015</v>
      </c>
    </row>
    <row r="7" spans="1:6">
      <c r="A7">
        <v>2016</v>
      </c>
    </row>
    <row r="8" spans="1:6">
      <c r="A8">
        <v>2017</v>
      </c>
    </row>
    <row r="9" spans="1:6">
      <c r="A9">
        <v>2018</v>
      </c>
    </row>
    <row r="10" spans="1:6">
      <c r="A10">
        <v>2019</v>
      </c>
    </row>
    <row r="11" spans="1:6">
      <c r="A11">
        <v>2020</v>
      </c>
    </row>
    <row r="12" spans="1:6">
      <c r="A12">
        <v>2021</v>
      </c>
    </row>
    <row r="13" spans="1:6">
      <c r="A13">
        <v>2022</v>
      </c>
      <c r="C13">
        <v>15</v>
      </c>
      <c r="D13">
        <v>12</v>
      </c>
      <c r="E13">
        <v>18</v>
      </c>
      <c r="F13">
        <v>2</v>
      </c>
    </row>
    <row r="14" spans="1:6">
      <c r="A14">
        <v>2023</v>
      </c>
      <c r="C14">
        <v>15</v>
      </c>
      <c r="D14">
        <v>13</v>
      </c>
      <c r="E14">
        <v>25</v>
      </c>
      <c r="F14">
        <v>2</v>
      </c>
    </row>
    <row r="15" spans="1:6">
      <c r="A15">
        <v>2024</v>
      </c>
      <c r="C15">
        <v>15</v>
      </c>
      <c r="D15">
        <v>10</v>
      </c>
      <c r="E15">
        <v>28</v>
      </c>
      <c r="F15">
        <v>2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74BC-7CCD-254E-BAF6-9DA487135BA8}">
  <dimension ref="A1:Q44"/>
  <sheetViews>
    <sheetView topLeftCell="A73" workbookViewId="0">
      <selection activeCell="Q40" sqref="Q40:Q42"/>
    </sheetView>
  </sheetViews>
  <sheetFormatPr baseColWidth="10" defaultColWidth="8.83203125" defaultRowHeight="15"/>
  <cols>
    <col min="2" max="2" width="9.83203125" bestFit="1" customWidth="1"/>
  </cols>
  <sheetData>
    <row r="1" spans="1:17" ht="16">
      <c r="B1" s="15" t="s">
        <v>56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4"/>
    </row>
    <row r="2" spans="1:17">
      <c r="C2" s="13" t="s">
        <v>55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7">
      <c r="C3">
        <v>2012</v>
      </c>
      <c r="D3">
        <v>2013</v>
      </c>
      <c r="E3">
        <v>2014</v>
      </c>
      <c r="F3">
        <v>2015</v>
      </c>
      <c r="G3">
        <v>2016</v>
      </c>
      <c r="H3">
        <v>2017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</row>
    <row r="4" spans="1:17">
      <c r="A4" t="s">
        <v>54</v>
      </c>
      <c r="B4" t="s">
        <v>53</v>
      </c>
    </row>
    <row r="5" spans="1:17">
      <c r="A5" s="10" t="s">
        <v>52</v>
      </c>
      <c r="B5" t="s">
        <v>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7">
      <c r="A6" s="10" t="s">
        <v>52</v>
      </c>
      <c r="B6" s="11" t="s">
        <v>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7">
      <c r="A7" s="10" t="s">
        <v>52</v>
      </c>
      <c r="B7" s="11" t="s">
        <v>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7">
      <c r="A8" s="10" t="s">
        <v>52</v>
      </c>
      <c r="B8" t="s">
        <v>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Q8" s="12"/>
    </row>
    <row r="9" spans="1:17">
      <c r="A9" s="10" t="s">
        <v>52</v>
      </c>
      <c r="B9" t="s">
        <v>47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Q9" s="12"/>
    </row>
    <row r="10" spans="1:17">
      <c r="A10" s="10" t="s">
        <v>52</v>
      </c>
      <c r="B10" t="s">
        <v>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7">
      <c r="A11" s="10" t="s">
        <v>52</v>
      </c>
      <c r="B11" t="s">
        <v>45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</v>
      </c>
      <c r="J11">
        <v>0</v>
      </c>
      <c r="K11">
        <v>2</v>
      </c>
      <c r="L11">
        <v>0</v>
      </c>
      <c r="M11">
        <v>1</v>
      </c>
      <c r="N11">
        <v>0</v>
      </c>
      <c r="O11">
        <v>2</v>
      </c>
    </row>
    <row r="12" spans="1:17">
      <c r="A12" s="10" t="s">
        <v>52</v>
      </c>
      <c r="B12" t="s">
        <v>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2</v>
      </c>
      <c r="K12">
        <v>0</v>
      </c>
      <c r="L12">
        <v>0</v>
      </c>
      <c r="M12">
        <v>0</v>
      </c>
      <c r="N12">
        <v>1</v>
      </c>
      <c r="O12">
        <v>0</v>
      </c>
    </row>
    <row r="13" spans="1:17">
      <c r="A13" s="10" t="s">
        <v>52</v>
      </c>
      <c r="B13" t="s">
        <v>43</v>
      </c>
      <c r="C13">
        <v>2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2</v>
      </c>
      <c r="L13">
        <v>0</v>
      </c>
      <c r="M13">
        <v>1</v>
      </c>
      <c r="N13">
        <v>0</v>
      </c>
      <c r="O13">
        <v>0</v>
      </c>
    </row>
    <row r="14" spans="1:17">
      <c r="A14" s="10" t="s">
        <v>52</v>
      </c>
      <c r="B14" t="s">
        <v>42</v>
      </c>
      <c r="C14">
        <v>0</v>
      </c>
      <c r="D14">
        <v>0</v>
      </c>
      <c r="E14">
        <v>2</v>
      </c>
      <c r="F14">
        <v>1</v>
      </c>
      <c r="G14">
        <v>2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</row>
    <row r="15" spans="1:17">
      <c r="A15" s="10" t="s">
        <v>52</v>
      </c>
      <c r="B15" t="s">
        <v>41</v>
      </c>
      <c r="C15">
        <v>1</v>
      </c>
      <c r="D15">
        <v>1</v>
      </c>
      <c r="E15">
        <v>0</v>
      </c>
      <c r="F15">
        <v>4</v>
      </c>
      <c r="G15">
        <v>0</v>
      </c>
      <c r="H15">
        <v>2</v>
      </c>
      <c r="I15">
        <v>3</v>
      </c>
      <c r="J15">
        <v>1</v>
      </c>
      <c r="K15">
        <v>3</v>
      </c>
      <c r="L15">
        <v>0</v>
      </c>
      <c r="M15">
        <v>1</v>
      </c>
      <c r="N15">
        <v>0</v>
      </c>
      <c r="O15">
        <v>2</v>
      </c>
    </row>
    <row r="16" spans="1:17">
      <c r="A16" s="10" t="s">
        <v>52</v>
      </c>
      <c r="B16" t="s">
        <v>40</v>
      </c>
      <c r="C16">
        <v>1</v>
      </c>
      <c r="D16">
        <v>1</v>
      </c>
      <c r="E16">
        <v>0</v>
      </c>
      <c r="F16">
        <v>1</v>
      </c>
      <c r="G16">
        <v>2</v>
      </c>
      <c r="H16">
        <v>1</v>
      </c>
      <c r="I16">
        <v>3</v>
      </c>
      <c r="J16">
        <v>1</v>
      </c>
      <c r="K16">
        <v>1</v>
      </c>
      <c r="L16">
        <v>3</v>
      </c>
      <c r="M16">
        <v>0</v>
      </c>
      <c r="N16">
        <v>3</v>
      </c>
      <c r="O16">
        <v>2</v>
      </c>
    </row>
    <row r="17" spans="1:15">
      <c r="A17" s="10" t="s">
        <v>52</v>
      </c>
      <c r="B17" t="s">
        <v>39</v>
      </c>
      <c r="C17">
        <v>2</v>
      </c>
      <c r="D17">
        <v>3</v>
      </c>
      <c r="E17">
        <v>1</v>
      </c>
      <c r="F17">
        <v>3</v>
      </c>
      <c r="G17">
        <v>1</v>
      </c>
      <c r="H17">
        <v>5</v>
      </c>
      <c r="I17">
        <v>2</v>
      </c>
      <c r="J17">
        <v>3</v>
      </c>
      <c r="K17">
        <v>1</v>
      </c>
      <c r="L17">
        <v>4</v>
      </c>
      <c r="M17">
        <v>0</v>
      </c>
      <c r="N17">
        <v>2</v>
      </c>
      <c r="O17">
        <v>3</v>
      </c>
    </row>
    <row r="18" spans="1:15">
      <c r="A18" s="10" t="s">
        <v>52</v>
      </c>
      <c r="B18" t="s">
        <v>38</v>
      </c>
      <c r="C18">
        <v>0</v>
      </c>
      <c r="D18">
        <v>3</v>
      </c>
      <c r="E18">
        <v>4</v>
      </c>
      <c r="F18">
        <v>0</v>
      </c>
      <c r="G18">
        <v>1</v>
      </c>
      <c r="H18">
        <v>3</v>
      </c>
      <c r="I18">
        <v>0</v>
      </c>
      <c r="J18">
        <v>3</v>
      </c>
      <c r="K18">
        <v>2</v>
      </c>
      <c r="L18">
        <v>1</v>
      </c>
      <c r="M18">
        <v>1</v>
      </c>
      <c r="N18">
        <v>1</v>
      </c>
      <c r="O18">
        <v>2</v>
      </c>
    </row>
    <row r="19" spans="1:15">
      <c r="A19" s="10" t="s">
        <v>52</v>
      </c>
      <c r="B19" t="s">
        <v>37</v>
      </c>
      <c r="C19">
        <v>1</v>
      </c>
      <c r="D19">
        <v>1</v>
      </c>
      <c r="E19">
        <v>0</v>
      </c>
      <c r="F19">
        <v>0</v>
      </c>
      <c r="G19">
        <v>2</v>
      </c>
      <c r="H19">
        <v>0</v>
      </c>
      <c r="I19">
        <v>4</v>
      </c>
      <c r="J19">
        <v>1</v>
      </c>
      <c r="K19">
        <v>0</v>
      </c>
      <c r="L19">
        <v>3</v>
      </c>
      <c r="M19">
        <v>2</v>
      </c>
      <c r="N19">
        <v>3</v>
      </c>
      <c r="O19">
        <v>0</v>
      </c>
    </row>
    <row r="20" spans="1:15">
      <c r="A20" s="10" t="s">
        <v>52</v>
      </c>
      <c r="B20" t="s">
        <v>36</v>
      </c>
      <c r="C20">
        <v>1</v>
      </c>
      <c r="D20">
        <v>2</v>
      </c>
      <c r="E20">
        <v>2</v>
      </c>
      <c r="F20">
        <v>2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</row>
    <row r="21" spans="1:15">
      <c r="A21" s="10" t="s">
        <v>52</v>
      </c>
      <c r="B21" t="s">
        <v>35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10" t="s">
        <v>52</v>
      </c>
      <c r="B22" t="s">
        <v>33</v>
      </c>
      <c r="C22">
        <v>8</v>
      </c>
      <c r="D22">
        <v>12</v>
      </c>
      <c r="E22">
        <v>9</v>
      </c>
      <c r="F22">
        <v>12</v>
      </c>
      <c r="G22">
        <v>11</v>
      </c>
      <c r="H22">
        <v>14</v>
      </c>
      <c r="I22">
        <v>17</v>
      </c>
      <c r="J22">
        <v>13</v>
      </c>
      <c r="K22">
        <v>13</v>
      </c>
      <c r="L22">
        <v>13</v>
      </c>
      <c r="M22">
        <v>8</v>
      </c>
      <c r="N22">
        <v>12</v>
      </c>
      <c r="O22">
        <v>12</v>
      </c>
    </row>
    <row r="25" spans="1:15">
      <c r="A25" s="10" t="s">
        <v>34</v>
      </c>
      <c r="B25" t="s">
        <v>51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s="10" t="s">
        <v>34</v>
      </c>
      <c r="B26" s="11" t="s">
        <v>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10" t="s">
        <v>34</v>
      </c>
      <c r="B27" s="11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10" t="s">
        <v>34</v>
      </c>
      <c r="B28" t="s">
        <v>48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10" t="s">
        <v>34</v>
      </c>
      <c r="B29" t="s">
        <v>47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</row>
    <row r="30" spans="1:15">
      <c r="A30" s="10" t="s">
        <v>34</v>
      </c>
      <c r="B30" t="s">
        <v>46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s="10" t="s">
        <v>34</v>
      </c>
      <c r="B31" t="s">
        <v>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10" t="s">
        <v>34</v>
      </c>
      <c r="B32" t="s">
        <v>44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s="10" t="s">
        <v>34</v>
      </c>
      <c r="B33" t="s">
        <v>43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s="10" t="s">
        <v>34</v>
      </c>
      <c r="B34" t="s">
        <v>42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0</v>
      </c>
      <c r="M34">
        <v>1</v>
      </c>
      <c r="N34">
        <v>0</v>
      </c>
      <c r="O34">
        <v>0</v>
      </c>
    </row>
    <row r="35" spans="1:15">
      <c r="A35" s="10" t="s">
        <v>34</v>
      </c>
      <c r="B35" t="s">
        <v>41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</row>
    <row r="36" spans="1:15">
      <c r="A36" s="10" t="s">
        <v>34</v>
      </c>
      <c r="B36" t="s">
        <v>40</v>
      </c>
      <c r="C36">
        <v>0</v>
      </c>
      <c r="D36">
        <v>0</v>
      </c>
      <c r="E36">
        <v>0</v>
      </c>
      <c r="F36">
        <v>0</v>
      </c>
      <c r="G36">
        <v>2</v>
      </c>
      <c r="H36">
        <v>1</v>
      </c>
      <c r="I36">
        <v>2</v>
      </c>
      <c r="J36">
        <v>0</v>
      </c>
      <c r="K36">
        <v>0</v>
      </c>
      <c r="L36">
        <v>0</v>
      </c>
      <c r="M36">
        <v>2</v>
      </c>
      <c r="N36">
        <v>0</v>
      </c>
      <c r="O36">
        <v>2</v>
      </c>
    </row>
    <row r="37" spans="1:15">
      <c r="A37" s="10" t="s">
        <v>34</v>
      </c>
      <c r="B37" t="s">
        <v>39</v>
      </c>
      <c r="C37">
        <v>2</v>
      </c>
      <c r="D37">
        <v>2</v>
      </c>
      <c r="E37">
        <v>0</v>
      </c>
      <c r="F37">
        <v>1</v>
      </c>
      <c r="G37">
        <v>2</v>
      </c>
      <c r="H37">
        <v>2</v>
      </c>
      <c r="I37">
        <v>1</v>
      </c>
      <c r="J37">
        <v>3</v>
      </c>
      <c r="K37">
        <v>1</v>
      </c>
      <c r="L37">
        <v>2</v>
      </c>
      <c r="M37">
        <v>3</v>
      </c>
      <c r="N37">
        <v>2</v>
      </c>
      <c r="O37">
        <v>2</v>
      </c>
    </row>
    <row r="38" spans="1:15">
      <c r="A38" s="10" t="s">
        <v>34</v>
      </c>
      <c r="B38" t="s">
        <v>38</v>
      </c>
      <c r="C38">
        <v>2</v>
      </c>
      <c r="D38">
        <v>0</v>
      </c>
      <c r="E38">
        <v>1</v>
      </c>
      <c r="F38">
        <v>1</v>
      </c>
      <c r="G38">
        <v>0</v>
      </c>
      <c r="H38">
        <v>1</v>
      </c>
      <c r="I38">
        <v>0</v>
      </c>
      <c r="J38">
        <v>3</v>
      </c>
      <c r="K38">
        <v>0</v>
      </c>
      <c r="L38">
        <v>2</v>
      </c>
      <c r="M38">
        <v>0</v>
      </c>
      <c r="N38">
        <v>3</v>
      </c>
      <c r="O38">
        <v>2</v>
      </c>
    </row>
    <row r="39" spans="1:15">
      <c r="A39" s="10" t="s">
        <v>34</v>
      </c>
      <c r="B39" t="s">
        <v>37</v>
      </c>
      <c r="C39">
        <v>1</v>
      </c>
      <c r="D39">
        <v>0</v>
      </c>
      <c r="E39">
        <v>0</v>
      </c>
      <c r="F39">
        <v>1</v>
      </c>
      <c r="G39">
        <v>2</v>
      </c>
      <c r="H39">
        <v>4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 s="10" t="s">
        <v>34</v>
      </c>
      <c r="B40" t="s">
        <v>36</v>
      </c>
      <c r="C40">
        <v>0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3</v>
      </c>
      <c r="N40">
        <v>0</v>
      </c>
      <c r="O40">
        <v>0</v>
      </c>
    </row>
    <row r="41" spans="1:15">
      <c r="A41" s="10" t="s">
        <v>34</v>
      </c>
      <c r="B41" t="s">
        <v>35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s="10" t="s">
        <v>34</v>
      </c>
      <c r="B42" t="s">
        <v>33</v>
      </c>
      <c r="C42">
        <v>6</v>
      </c>
      <c r="D42">
        <v>4</v>
      </c>
      <c r="E42">
        <v>4</v>
      </c>
      <c r="F42">
        <v>6</v>
      </c>
      <c r="G42">
        <v>8</v>
      </c>
      <c r="H42">
        <v>8</v>
      </c>
      <c r="I42">
        <v>6</v>
      </c>
      <c r="J42">
        <v>7</v>
      </c>
      <c r="K42">
        <v>3</v>
      </c>
      <c r="L42">
        <v>5</v>
      </c>
      <c r="M42">
        <v>11</v>
      </c>
      <c r="N42">
        <v>7</v>
      </c>
      <c r="O42">
        <v>6</v>
      </c>
    </row>
    <row r="44" spans="1:15">
      <c r="B44" t="s">
        <v>32</v>
      </c>
      <c r="C44">
        <v>14</v>
      </c>
      <c r="D44">
        <v>16</v>
      </c>
      <c r="E44">
        <v>13</v>
      </c>
      <c r="F44">
        <v>18</v>
      </c>
      <c r="G44">
        <v>19</v>
      </c>
      <c r="H44">
        <v>22</v>
      </c>
      <c r="I44">
        <v>23</v>
      </c>
      <c r="J44">
        <v>20</v>
      </c>
      <c r="K44">
        <v>16</v>
      </c>
      <c r="L44">
        <v>18</v>
      </c>
      <c r="M44">
        <v>19</v>
      </c>
      <c r="N44">
        <v>19</v>
      </c>
      <c r="O44">
        <v>18</v>
      </c>
    </row>
  </sheetData>
  <mergeCells count="2">
    <mergeCell ref="C2:N2"/>
    <mergeCell ref="B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5391-4594-E449-94DC-A93FC57BA7F7}">
  <dimension ref="A1:O45"/>
  <sheetViews>
    <sheetView tabSelected="1" topLeftCell="A13" workbookViewId="0">
      <selection activeCell="T27" sqref="T27"/>
    </sheetView>
  </sheetViews>
  <sheetFormatPr baseColWidth="10" defaultColWidth="9.1640625" defaultRowHeight="15"/>
  <cols>
    <col min="1" max="16384" width="9.1640625" style="16"/>
  </cols>
  <sheetData>
    <row r="1" spans="1:15">
      <c r="B1" s="23" t="s">
        <v>57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>
      <c r="C2" s="22" t="s">
        <v>55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5">
      <c r="C3" s="16">
        <v>2012</v>
      </c>
      <c r="D3" s="16">
        <v>2013</v>
      </c>
      <c r="E3" s="16">
        <v>2014</v>
      </c>
      <c r="F3" s="16">
        <v>2015</v>
      </c>
      <c r="G3" s="16">
        <v>2016</v>
      </c>
      <c r="H3" s="16">
        <v>2017</v>
      </c>
      <c r="I3" s="16">
        <v>2018</v>
      </c>
      <c r="J3" s="16">
        <v>2019</v>
      </c>
      <c r="K3" s="16">
        <v>2020</v>
      </c>
      <c r="L3" s="16">
        <v>2021</v>
      </c>
      <c r="M3" s="16">
        <v>2022</v>
      </c>
      <c r="N3" s="16">
        <v>2023</v>
      </c>
      <c r="O3" s="16">
        <v>2024</v>
      </c>
    </row>
    <row r="4" spans="1:15">
      <c r="A4" s="16" t="s">
        <v>54</v>
      </c>
      <c r="B4" s="16" t="s">
        <v>53</v>
      </c>
    </row>
    <row r="5" spans="1:15">
      <c r="A5" s="19" t="s">
        <v>52</v>
      </c>
      <c r="B5" s="16" t="s">
        <v>51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</row>
    <row r="6" spans="1:15">
      <c r="A6" s="19" t="s">
        <v>52</v>
      </c>
      <c r="B6" s="21" t="s">
        <v>50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</row>
    <row r="7" spans="1:15">
      <c r="A7" s="19" t="s">
        <v>52</v>
      </c>
      <c r="B7" s="21" t="s">
        <v>49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</row>
    <row r="8" spans="1:15">
      <c r="A8" s="19" t="s">
        <v>52</v>
      </c>
      <c r="B8" s="16" t="s">
        <v>48</v>
      </c>
      <c r="C8" s="18">
        <v>0</v>
      </c>
      <c r="D8" s="20">
        <v>0</v>
      </c>
      <c r="E8" s="18">
        <v>0</v>
      </c>
      <c r="F8" s="18">
        <v>0</v>
      </c>
      <c r="G8" s="20">
        <v>0</v>
      </c>
      <c r="H8" s="18">
        <v>0</v>
      </c>
      <c r="I8" s="18">
        <v>0</v>
      </c>
      <c r="J8" s="20">
        <v>0</v>
      </c>
      <c r="K8" s="18">
        <v>1</v>
      </c>
      <c r="L8" s="20">
        <v>0</v>
      </c>
      <c r="M8" s="20">
        <v>0</v>
      </c>
      <c r="N8" s="20">
        <v>0</v>
      </c>
      <c r="O8" s="20">
        <v>0</v>
      </c>
    </row>
    <row r="9" spans="1:15">
      <c r="A9" s="19" t="s">
        <v>52</v>
      </c>
      <c r="B9" s="16" t="s">
        <v>47</v>
      </c>
      <c r="C9" s="18">
        <v>0</v>
      </c>
      <c r="D9" s="20">
        <v>0</v>
      </c>
      <c r="E9" s="18">
        <v>0</v>
      </c>
      <c r="F9" s="18">
        <v>0</v>
      </c>
      <c r="G9" s="20">
        <v>0</v>
      </c>
      <c r="H9" s="18">
        <v>0</v>
      </c>
      <c r="I9" s="18">
        <v>0</v>
      </c>
      <c r="J9" s="20">
        <v>0</v>
      </c>
      <c r="K9" s="18">
        <v>0</v>
      </c>
      <c r="L9" s="20">
        <v>0</v>
      </c>
      <c r="M9" s="20">
        <v>0</v>
      </c>
      <c r="N9" s="20">
        <v>0</v>
      </c>
      <c r="O9" s="20">
        <v>0</v>
      </c>
    </row>
    <row r="10" spans="1:15">
      <c r="A10" s="19" t="s">
        <v>52</v>
      </c>
      <c r="B10" s="16" t="s">
        <v>46</v>
      </c>
      <c r="C10" s="18">
        <v>0</v>
      </c>
      <c r="D10" s="20">
        <v>0</v>
      </c>
      <c r="E10" s="18">
        <v>0</v>
      </c>
      <c r="F10" s="18">
        <v>0</v>
      </c>
      <c r="G10" s="20">
        <v>0</v>
      </c>
      <c r="H10" s="18">
        <v>0</v>
      </c>
      <c r="I10" s="18">
        <v>0</v>
      </c>
      <c r="J10" s="20">
        <v>0</v>
      </c>
      <c r="K10" s="18">
        <v>0</v>
      </c>
      <c r="L10" s="20">
        <v>0</v>
      </c>
      <c r="M10" s="20">
        <v>0</v>
      </c>
      <c r="N10" s="20">
        <v>0</v>
      </c>
      <c r="O10" s="20">
        <v>0</v>
      </c>
    </row>
    <row r="11" spans="1:15">
      <c r="A11" s="19" t="s">
        <v>52</v>
      </c>
      <c r="B11" s="16" t="s">
        <v>45</v>
      </c>
      <c r="C11" s="18">
        <v>0</v>
      </c>
      <c r="D11" s="20">
        <v>0</v>
      </c>
      <c r="E11" s="18">
        <v>0</v>
      </c>
      <c r="F11" s="18">
        <v>0</v>
      </c>
      <c r="G11" s="20">
        <v>0</v>
      </c>
      <c r="H11" s="18">
        <v>0</v>
      </c>
      <c r="I11" s="18">
        <v>0</v>
      </c>
      <c r="J11" s="20">
        <v>0</v>
      </c>
      <c r="K11" s="18">
        <v>0</v>
      </c>
      <c r="L11" s="20">
        <v>0</v>
      </c>
      <c r="M11" s="20">
        <v>0</v>
      </c>
      <c r="N11" s="20">
        <v>0</v>
      </c>
      <c r="O11" s="20">
        <v>0</v>
      </c>
    </row>
    <row r="12" spans="1:15">
      <c r="A12" s="19" t="s">
        <v>52</v>
      </c>
      <c r="B12" s="16" t="s">
        <v>44</v>
      </c>
      <c r="C12" s="18">
        <v>0</v>
      </c>
      <c r="D12" s="20">
        <v>0</v>
      </c>
      <c r="E12" s="18">
        <v>0</v>
      </c>
      <c r="F12" s="18">
        <v>0</v>
      </c>
      <c r="G12" s="20">
        <v>0</v>
      </c>
      <c r="H12" s="18">
        <v>0</v>
      </c>
      <c r="I12" s="18">
        <v>0</v>
      </c>
      <c r="J12" s="20">
        <v>0</v>
      </c>
      <c r="K12" s="18">
        <v>0</v>
      </c>
      <c r="L12" s="20">
        <v>0</v>
      </c>
      <c r="M12" s="20">
        <v>0</v>
      </c>
      <c r="N12" s="20">
        <v>0</v>
      </c>
      <c r="O12" s="20">
        <v>0</v>
      </c>
    </row>
    <row r="13" spans="1:15">
      <c r="A13" s="19" t="s">
        <v>52</v>
      </c>
      <c r="B13" s="16" t="s">
        <v>43</v>
      </c>
      <c r="C13" s="18">
        <v>0</v>
      </c>
      <c r="D13" s="20">
        <v>0</v>
      </c>
      <c r="E13" s="18">
        <v>0</v>
      </c>
      <c r="F13" s="18">
        <v>0</v>
      </c>
      <c r="G13" s="20">
        <v>0</v>
      </c>
      <c r="H13" s="18">
        <v>0</v>
      </c>
      <c r="I13" s="18">
        <v>0</v>
      </c>
      <c r="J13" s="20">
        <v>0</v>
      </c>
      <c r="K13" s="18">
        <v>0</v>
      </c>
      <c r="L13" s="20">
        <v>0</v>
      </c>
      <c r="M13" s="20">
        <v>0</v>
      </c>
      <c r="N13" s="20">
        <v>0</v>
      </c>
      <c r="O13" s="20">
        <v>0</v>
      </c>
    </row>
    <row r="14" spans="1:15">
      <c r="A14" s="19" t="s">
        <v>52</v>
      </c>
      <c r="B14" s="16" t="s">
        <v>42</v>
      </c>
      <c r="C14" s="18">
        <v>0</v>
      </c>
      <c r="D14" s="20">
        <v>0</v>
      </c>
      <c r="E14" s="18">
        <v>0</v>
      </c>
      <c r="F14" s="18">
        <v>0</v>
      </c>
      <c r="G14" s="20">
        <v>0</v>
      </c>
      <c r="H14" s="18">
        <v>0</v>
      </c>
      <c r="I14" s="18">
        <v>0</v>
      </c>
      <c r="J14" s="20">
        <v>0</v>
      </c>
      <c r="K14" s="18">
        <v>0</v>
      </c>
      <c r="L14" s="20">
        <v>0</v>
      </c>
      <c r="M14" s="20">
        <v>0</v>
      </c>
      <c r="N14" s="20">
        <v>0</v>
      </c>
      <c r="O14" s="20">
        <v>0</v>
      </c>
    </row>
    <row r="15" spans="1:15">
      <c r="A15" s="19" t="s">
        <v>52</v>
      </c>
      <c r="B15" s="16" t="s">
        <v>41</v>
      </c>
      <c r="C15" s="18">
        <v>0</v>
      </c>
      <c r="D15" s="20">
        <v>0</v>
      </c>
      <c r="E15" s="18">
        <v>0</v>
      </c>
      <c r="F15" s="18">
        <v>0</v>
      </c>
      <c r="G15" s="20">
        <v>0</v>
      </c>
      <c r="H15" s="18">
        <v>1</v>
      </c>
      <c r="I15" s="18">
        <v>0</v>
      </c>
      <c r="J15" s="20">
        <v>0</v>
      </c>
      <c r="K15" s="18">
        <v>1</v>
      </c>
      <c r="L15" s="20">
        <v>0</v>
      </c>
      <c r="M15" s="20">
        <v>0</v>
      </c>
      <c r="N15" s="20">
        <v>0</v>
      </c>
      <c r="O15" s="20">
        <v>0</v>
      </c>
    </row>
    <row r="16" spans="1:15">
      <c r="A16" s="19" t="s">
        <v>52</v>
      </c>
      <c r="B16" s="16" t="s">
        <v>40</v>
      </c>
      <c r="C16" s="18">
        <v>0</v>
      </c>
      <c r="D16" s="20">
        <v>0</v>
      </c>
      <c r="E16" s="18">
        <v>0</v>
      </c>
      <c r="F16" s="18">
        <v>1</v>
      </c>
      <c r="G16" s="20">
        <v>0</v>
      </c>
      <c r="H16" s="18">
        <v>0</v>
      </c>
      <c r="I16" s="18">
        <v>0</v>
      </c>
      <c r="J16" s="20">
        <v>0</v>
      </c>
      <c r="K16" s="18">
        <v>0</v>
      </c>
      <c r="L16" s="18">
        <v>1</v>
      </c>
      <c r="M16" s="20">
        <v>0</v>
      </c>
      <c r="N16" s="20">
        <v>0</v>
      </c>
      <c r="O16" s="20">
        <v>0</v>
      </c>
    </row>
    <row r="17" spans="1:15">
      <c r="A17" s="19" t="s">
        <v>52</v>
      </c>
      <c r="B17" s="16" t="s">
        <v>39</v>
      </c>
      <c r="C17" s="18">
        <v>0</v>
      </c>
      <c r="D17" s="18">
        <v>1</v>
      </c>
      <c r="E17" s="18">
        <v>0</v>
      </c>
      <c r="F17" s="18">
        <v>0</v>
      </c>
      <c r="G17" s="20">
        <v>0</v>
      </c>
      <c r="H17" s="18">
        <v>1</v>
      </c>
      <c r="I17" s="18">
        <v>0</v>
      </c>
      <c r="J17" s="20">
        <v>0</v>
      </c>
      <c r="K17" s="18">
        <v>0</v>
      </c>
      <c r="L17" s="18">
        <v>0</v>
      </c>
      <c r="M17" s="20">
        <v>0</v>
      </c>
      <c r="N17" s="20">
        <v>0</v>
      </c>
      <c r="O17" s="20">
        <v>0</v>
      </c>
    </row>
    <row r="18" spans="1:15">
      <c r="A18" s="19" t="s">
        <v>52</v>
      </c>
      <c r="B18" s="16" t="s">
        <v>38</v>
      </c>
      <c r="C18" s="18">
        <v>0</v>
      </c>
      <c r="D18" s="18">
        <v>0</v>
      </c>
      <c r="E18" s="18">
        <v>0</v>
      </c>
      <c r="F18" s="18">
        <v>0</v>
      </c>
      <c r="G18" s="18">
        <v>1</v>
      </c>
      <c r="H18" s="18">
        <v>0</v>
      </c>
      <c r="I18" s="18">
        <v>0</v>
      </c>
      <c r="J18" s="20">
        <v>0</v>
      </c>
      <c r="K18" s="18">
        <v>0</v>
      </c>
      <c r="L18" s="18">
        <v>0</v>
      </c>
      <c r="M18" s="20">
        <v>0</v>
      </c>
      <c r="N18" s="20">
        <v>0</v>
      </c>
      <c r="O18" s="20">
        <v>0</v>
      </c>
    </row>
    <row r="19" spans="1:15">
      <c r="A19" s="19" t="s">
        <v>52</v>
      </c>
      <c r="B19" s="16" t="s">
        <v>37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20">
        <v>0</v>
      </c>
      <c r="K19" s="18">
        <v>0</v>
      </c>
      <c r="L19" s="18">
        <v>0</v>
      </c>
      <c r="M19" s="20">
        <v>0</v>
      </c>
      <c r="N19" s="18">
        <v>1</v>
      </c>
      <c r="O19" s="20">
        <v>0</v>
      </c>
    </row>
    <row r="20" spans="1:15">
      <c r="A20" s="19" t="s">
        <v>52</v>
      </c>
      <c r="B20" s="16" t="s">
        <v>36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0">
        <v>0</v>
      </c>
      <c r="K20" s="18">
        <v>0</v>
      </c>
      <c r="L20" s="18">
        <v>0</v>
      </c>
      <c r="M20" s="20">
        <v>0</v>
      </c>
      <c r="N20" s="18">
        <v>0</v>
      </c>
      <c r="O20" s="20">
        <v>0</v>
      </c>
    </row>
    <row r="21" spans="1:15">
      <c r="A21" s="19" t="s">
        <v>52</v>
      </c>
      <c r="B21" s="16" t="s">
        <v>35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1</v>
      </c>
      <c r="I21" s="18">
        <v>0</v>
      </c>
      <c r="J21" s="20">
        <v>0</v>
      </c>
      <c r="K21" s="18">
        <v>0</v>
      </c>
      <c r="L21" s="18">
        <v>0</v>
      </c>
      <c r="M21" s="20">
        <v>0</v>
      </c>
      <c r="N21" s="18">
        <v>0</v>
      </c>
      <c r="O21" s="20">
        <v>0</v>
      </c>
    </row>
    <row r="22" spans="1:15">
      <c r="A22" s="19" t="s">
        <v>52</v>
      </c>
      <c r="B22" s="16" t="s">
        <v>33</v>
      </c>
      <c r="C22" s="18">
        <v>0</v>
      </c>
      <c r="D22" s="18">
        <v>1</v>
      </c>
      <c r="E22" s="18">
        <v>0</v>
      </c>
      <c r="F22" s="18">
        <v>1</v>
      </c>
      <c r="G22" s="18">
        <v>1</v>
      </c>
      <c r="H22" s="18">
        <v>3</v>
      </c>
      <c r="I22" s="18">
        <v>0</v>
      </c>
      <c r="J22" s="18">
        <v>0</v>
      </c>
      <c r="K22" s="18">
        <v>2</v>
      </c>
      <c r="L22" s="18">
        <v>1</v>
      </c>
      <c r="M22" s="18">
        <v>0</v>
      </c>
      <c r="N22" s="18">
        <v>1</v>
      </c>
      <c r="O22" s="18">
        <v>0</v>
      </c>
    </row>
    <row r="25" spans="1:15">
      <c r="A25" s="19" t="s">
        <v>34</v>
      </c>
      <c r="B25" s="16" t="s">
        <v>51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</row>
    <row r="26" spans="1:15">
      <c r="A26" s="19" t="s">
        <v>34</v>
      </c>
      <c r="B26" s="21" t="s">
        <v>50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</row>
    <row r="27" spans="1:15">
      <c r="A27" s="19" t="s">
        <v>34</v>
      </c>
      <c r="B27" s="21" t="s">
        <v>49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</row>
    <row r="28" spans="1:15">
      <c r="A28" s="19" t="s">
        <v>34</v>
      </c>
      <c r="B28" s="16" t="s">
        <v>48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</row>
    <row r="29" spans="1:15">
      <c r="A29" s="19" t="s">
        <v>34</v>
      </c>
      <c r="B29" s="16" t="s">
        <v>47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</row>
    <row r="30" spans="1:15">
      <c r="A30" s="19" t="s">
        <v>34</v>
      </c>
      <c r="B30" s="16" t="s">
        <v>46</v>
      </c>
      <c r="C30" s="20">
        <v>0</v>
      </c>
      <c r="D30" s="20">
        <v>0</v>
      </c>
      <c r="E30" s="20">
        <v>0</v>
      </c>
      <c r="F30" s="20">
        <v>1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</row>
    <row r="31" spans="1:15">
      <c r="A31" s="19" t="s">
        <v>34</v>
      </c>
      <c r="B31" s="16" t="s">
        <v>45</v>
      </c>
      <c r="C31" s="20">
        <v>0</v>
      </c>
      <c r="D31" s="20">
        <v>0</v>
      </c>
      <c r="E31" s="20">
        <v>0</v>
      </c>
      <c r="F31" s="18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</row>
    <row r="32" spans="1:15">
      <c r="A32" s="19" t="s">
        <v>34</v>
      </c>
      <c r="B32" s="16" t="s">
        <v>44</v>
      </c>
      <c r="C32" s="20">
        <v>0</v>
      </c>
      <c r="D32" s="20">
        <v>0</v>
      </c>
      <c r="E32" s="20">
        <v>0</v>
      </c>
      <c r="F32" s="18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</row>
    <row r="33" spans="1:15">
      <c r="A33" s="19" t="s">
        <v>34</v>
      </c>
      <c r="B33" s="16" t="s">
        <v>43</v>
      </c>
      <c r="C33" s="20">
        <v>0</v>
      </c>
      <c r="D33" s="20">
        <v>0</v>
      </c>
      <c r="E33" s="18">
        <v>1</v>
      </c>
      <c r="F33" s="18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</row>
    <row r="34" spans="1:15">
      <c r="A34" s="19" t="s">
        <v>34</v>
      </c>
      <c r="B34" s="16" t="s">
        <v>42</v>
      </c>
      <c r="C34" s="20">
        <v>0</v>
      </c>
      <c r="D34" s="20">
        <v>0</v>
      </c>
      <c r="E34" s="18">
        <v>0</v>
      </c>
      <c r="F34" s="18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</row>
    <row r="35" spans="1:15">
      <c r="A35" s="19" t="s">
        <v>34</v>
      </c>
      <c r="B35" s="16" t="s">
        <v>41</v>
      </c>
      <c r="C35" s="18">
        <v>1</v>
      </c>
      <c r="D35" s="20">
        <v>0</v>
      </c>
      <c r="E35" s="18">
        <v>0</v>
      </c>
      <c r="F35" s="18">
        <v>1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</row>
    <row r="36" spans="1:15">
      <c r="A36" s="19" t="s">
        <v>34</v>
      </c>
      <c r="B36" s="16" t="s">
        <v>40</v>
      </c>
      <c r="C36" s="18">
        <v>0</v>
      </c>
      <c r="D36" s="20">
        <v>0</v>
      </c>
      <c r="E36" s="18">
        <v>0</v>
      </c>
      <c r="F36" s="18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</row>
    <row r="37" spans="1:15">
      <c r="A37" s="19" t="s">
        <v>34</v>
      </c>
      <c r="B37" s="16" t="s">
        <v>39</v>
      </c>
      <c r="C37" s="18">
        <v>0</v>
      </c>
      <c r="D37" s="20">
        <v>0</v>
      </c>
      <c r="E37" s="18">
        <v>0</v>
      </c>
      <c r="F37" s="18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</row>
    <row r="38" spans="1:15">
      <c r="A38" s="19" t="s">
        <v>34</v>
      </c>
      <c r="B38" s="16" t="s">
        <v>38</v>
      </c>
      <c r="C38" s="18">
        <v>0</v>
      </c>
      <c r="D38" s="20">
        <v>0</v>
      </c>
      <c r="E38" s="18">
        <v>0</v>
      </c>
      <c r="F38" s="18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</row>
    <row r="39" spans="1:15">
      <c r="A39" s="19" t="s">
        <v>34</v>
      </c>
      <c r="B39" s="16" t="s">
        <v>37</v>
      </c>
      <c r="C39" s="18">
        <v>0</v>
      </c>
      <c r="D39" s="20">
        <v>0</v>
      </c>
      <c r="E39" s="18">
        <v>0</v>
      </c>
      <c r="F39" s="18">
        <v>0</v>
      </c>
      <c r="G39" s="20">
        <v>0</v>
      </c>
      <c r="H39" s="18">
        <v>1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</row>
    <row r="40" spans="1:15">
      <c r="A40" s="19" t="s">
        <v>34</v>
      </c>
      <c r="B40" s="16" t="s">
        <v>36</v>
      </c>
      <c r="C40" s="18">
        <v>0</v>
      </c>
      <c r="D40" s="20">
        <v>0</v>
      </c>
      <c r="E40" s="18">
        <v>0</v>
      </c>
      <c r="F40" s="18">
        <v>0</v>
      </c>
      <c r="G40" s="20">
        <v>0</v>
      </c>
      <c r="H40" s="18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</row>
    <row r="41" spans="1:15">
      <c r="A41" s="19" t="s">
        <v>34</v>
      </c>
      <c r="B41" s="16" t="s">
        <v>35</v>
      </c>
      <c r="C41" s="18">
        <v>0</v>
      </c>
      <c r="D41" s="20">
        <v>0</v>
      </c>
      <c r="E41" s="18">
        <v>0</v>
      </c>
      <c r="F41" s="18">
        <v>0</v>
      </c>
      <c r="G41" s="20">
        <v>0</v>
      </c>
      <c r="H41" s="18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</row>
    <row r="42" spans="1:15">
      <c r="A42" s="19" t="s">
        <v>34</v>
      </c>
      <c r="B42" s="16" t="s">
        <v>33</v>
      </c>
      <c r="C42" s="18">
        <v>1</v>
      </c>
      <c r="D42" s="18">
        <v>0</v>
      </c>
      <c r="E42" s="18">
        <v>1</v>
      </c>
      <c r="F42" s="18">
        <v>2</v>
      </c>
      <c r="G42" s="18">
        <v>0</v>
      </c>
      <c r="H42" s="18">
        <v>1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</row>
    <row r="44" spans="1:15">
      <c r="B44" s="16" t="s">
        <v>32</v>
      </c>
      <c r="C44" s="18">
        <f>C42+C22</f>
        <v>1</v>
      </c>
      <c r="D44" s="18">
        <f>D42+D22</f>
        <v>1</v>
      </c>
      <c r="E44" s="18">
        <f>E42+E22</f>
        <v>1</v>
      </c>
      <c r="F44" s="18">
        <f>F42+F22</f>
        <v>3</v>
      </c>
      <c r="G44" s="18">
        <f>G42+G22</f>
        <v>1</v>
      </c>
      <c r="H44" s="18">
        <f>H42+H22</f>
        <v>4</v>
      </c>
      <c r="I44" s="18">
        <f>I42+I22</f>
        <v>0</v>
      </c>
      <c r="J44" s="18">
        <f>J42+J22</f>
        <v>0</v>
      </c>
      <c r="K44" s="18">
        <f>K42+K22</f>
        <v>2</v>
      </c>
      <c r="L44" s="18">
        <f>L42+L22</f>
        <v>1</v>
      </c>
      <c r="M44" s="18">
        <f>M42+M22</f>
        <v>0</v>
      </c>
      <c r="N44" s="18">
        <f>N42+N22</f>
        <v>1</v>
      </c>
      <c r="O44" s="18">
        <f>O42+O22</f>
        <v>0</v>
      </c>
    </row>
    <row r="45" spans="1:1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</sheetData>
  <mergeCells count="2">
    <mergeCell ref="C2:N2"/>
    <mergeCell ref="B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TAVI volume</vt:lpstr>
      <vt:lpstr>TAVI STS score distribution</vt:lpstr>
      <vt:lpstr>SAVR volume</vt:lpstr>
      <vt:lpstr>Redo SAVR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Jin Ahn</dc:creator>
  <cp:lastModifiedBy>Microsoft Office User</cp:lastModifiedBy>
  <dcterms:created xsi:type="dcterms:W3CDTF">2025-06-15T14:25:22Z</dcterms:created>
  <dcterms:modified xsi:type="dcterms:W3CDTF">2025-11-26T04:55:59Z</dcterms:modified>
</cp:coreProperties>
</file>