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 />
  <Relationship Id="rId2" Type="http://schemas.openxmlformats.org/package/2006/relationships/metadata/core-properties" Target="docProps/core.xml" />
  <Relationship Id="rId1" Type="http://schemas.openxmlformats.org/officeDocument/2006/relationships/officeDocument" Target="xl/workbook.xml" 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Jon/Desktop/"/>
    </mc:Choice>
  </mc:AlternateContent>
  <xr:revisionPtr revIDLastSave="0" documentId="13_ncr:1_{7AAF88A5-6C95-8348-9862-D528B980814F}" xr6:coauthVersionLast="47" xr6:coauthVersionMax="47" xr10:uidLastSave="{00000000-0000-0000-0000-000000000000}"/>
  <bookViews>
    <workbookView xWindow="4860" yWindow="500" windowWidth="28800" windowHeight="16440" xr2:uid="{FFBECFA5-17ED-450C-BB40-3A977BDA48C2}"/>
  </bookViews>
  <sheets>
    <sheet name="TAVI volume" sheetId="2" r:id="rId1"/>
    <sheet name="TAVI STS score distribution" sheetId="4" r:id="rId2"/>
    <sheet name="SAVR volume" sheetId="1" r:id="rId3"/>
    <sheet name="Redo SAVR volum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9" i="4" l="1"/>
  <c r="B12" i="4"/>
  <c r="B13" i="4"/>
  <c r="B14" i="4"/>
  <c r="B15" i="4"/>
  <c r="C22" i="2"/>
  <c r="C44" i="2" s="1"/>
  <c r="D22" i="2"/>
  <c r="E22" i="2"/>
  <c r="F22" i="2"/>
  <c r="G22" i="2"/>
  <c r="H22" i="2"/>
  <c r="I22" i="2"/>
  <c r="J22" i="2"/>
  <c r="K22" i="2"/>
  <c r="L22" i="2"/>
  <c r="M22" i="2"/>
  <c r="N22" i="2"/>
  <c r="O22" i="2"/>
  <c r="C42" i="2"/>
  <c r="D42" i="2"/>
  <c r="E42" i="2"/>
  <c r="F42" i="2"/>
  <c r="F44" i="2" s="1"/>
  <c r="G42" i="2"/>
  <c r="H42" i="2"/>
  <c r="I42" i="2"/>
  <c r="J42" i="2"/>
  <c r="K42" i="2"/>
  <c r="L42" i="2"/>
  <c r="M42" i="2"/>
  <c r="N42" i="2"/>
  <c r="N44" i="2" s="1"/>
  <c r="O42" i="2"/>
  <c r="D44" i="2"/>
  <c r="E44" i="2"/>
  <c r="G44" i="2"/>
  <c r="H44" i="2"/>
  <c r="I44" i="2"/>
  <c r="J44" i="2"/>
  <c r="K44" i="2"/>
  <c r="L44" i="2"/>
  <c r="M44" i="2"/>
  <c r="O44" i="2"/>
  <c r="O44" i="3" l="1"/>
  <c r="N44" i="3"/>
  <c r="M44" i="3"/>
  <c r="L44" i="3"/>
  <c r="K44" i="3"/>
  <c r="J44" i="3"/>
  <c r="I44" i="3"/>
  <c r="H44" i="3"/>
  <c r="G44" i="3"/>
  <c r="O45" i="1"/>
  <c r="N45" i="1"/>
  <c r="M45" i="1"/>
  <c r="L45" i="1"/>
  <c r="K45" i="1"/>
  <c r="J45" i="1"/>
  <c r="I45" i="1"/>
  <c r="H45" i="1"/>
  <c r="G45" i="1"/>
</calcChain>
</file>

<file path=xl/sharedStrings.xml><?xml version="1.0" encoding="utf-8"?>
<sst xmlns="http://schemas.openxmlformats.org/spreadsheetml/2006/main" count="239" uniqueCount="34">
  <si>
    <t>Sex</t>
    <phoneticPr fontId="1" type="noConversion"/>
  </si>
  <si>
    <t>Men</t>
    <phoneticPr fontId="1" type="noConversion"/>
  </si>
  <si>
    <t>Women</t>
    <phoneticPr fontId="1" type="noConversion"/>
  </si>
  <si>
    <t>Age group</t>
    <phoneticPr fontId="1" type="noConversion"/>
  </si>
  <si>
    <t>Year</t>
    <phoneticPr fontId="1" type="noConversion"/>
  </si>
  <si>
    <t>&lt;5yr</t>
    <phoneticPr fontId="1" type="noConversion"/>
  </si>
  <si>
    <t>5-9</t>
    <phoneticPr fontId="1" type="noConversion"/>
  </si>
  <si>
    <t>10-14</t>
    <phoneticPr fontId="1" type="noConversion"/>
  </si>
  <si>
    <t>15-19</t>
    <phoneticPr fontId="1" type="noConversion"/>
  </si>
  <si>
    <t>20-24</t>
    <phoneticPr fontId="1" type="noConversion"/>
  </si>
  <si>
    <t>25-29</t>
    <phoneticPr fontId="1" type="noConversion"/>
  </si>
  <si>
    <t>30-34</t>
    <phoneticPr fontId="1" type="noConversion"/>
  </si>
  <si>
    <t>35-39</t>
    <phoneticPr fontId="1" type="noConversion"/>
  </si>
  <si>
    <t>40-44</t>
    <phoneticPr fontId="1" type="noConversion"/>
  </si>
  <si>
    <t>45-49</t>
    <phoneticPr fontId="1" type="noConversion"/>
  </si>
  <si>
    <t>50-54</t>
    <phoneticPr fontId="1" type="noConversion"/>
  </si>
  <si>
    <t>55-59</t>
    <phoneticPr fontId="1" type="noConversion"/>
  </si>
  <si>
    <t>65-69</t>
    <phoneticPr fontId="1" type="noConversion"/>
  </si>
  <si>
    <t>70-74</t>
    <phoneticPr fontId="1" type="noConversion"/>
  </si>
  <si>
    <t>60-64</t>
    <phoneticPr fontId="1" type="noConversion"/>
  </si>
  <si>
    <t>75-79</t>
    <phoneticPr fontId="1" type="noConversion"/>
  </si>
  <si>
    <t>&gt;=80</t>
    <phoneticPr fontId="1" type="noConversion"/>
  </si>
  <si>
    <t>Subtotal</t>
    <phoneticPr fontId="1" type="noConversion"/>
  </si>
  <si>
    <t>Total</t>
    <phoneticPr fontId="1" type="noConversion"/>
  </si>
  <si>
    <t>Number of patients who recevied SAVR (n)</t>
    <phoneticPr fontId="1" type="noConversion"/>
  </si>
  <si>
    <t>Number of patients who recevied TAVI (n)</t>
    <phoneticPr fontId="1" type="noConversion"/>
  </si>
  <si>
    <t>Number of patients who recevied Redo-SAVR (n)</t>
    <phoneticPr fontId="1" type="noConversion"/>
  </si>
  <si>
    <t>STS score of TAVI patients (n)</t>
    <phoneticPr fontId="1" type="noConversion"/>
  </si>
  <si>
    <t>Missing STS</t>
  </si>
  <si>
    <t>Missing</t>
  </si>
  <si>
    <t>High (n) &gt; 8 %</t>
  </si>
  <si>
    <t>Intermediate (n) &gt;= 4 - &lt;= 8%</t>
  </si>
  <si>
    <t>Low (n) &lt; 4%</t>
  </si>
  <si>
    <t>Total (n)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</si>
</sst>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Century Gothic"/>
      <family val="2"/>
    </font>
    <font>
      <b/>
      <sz val="12"/>
      <color rgb="FF222222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29"/>
      <scheme val="minor"/>
    </font>
    <font>
      <b/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25">
    <xf numFmtId="0" fontId="0" fillId="0" borderId="0" xfId="0">
      <alignment vertical="center"/>
    </xf>
    <xf numFmtId="3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3" fillId="0" borderId="0" xfId="2" applyFont="1" applyAlignment="1">
      <alignment horizontal="right" vertical="justify" wrapText="1"/>
    </xf>
    <xf numFmtId="3" fontId="3" fillId="0" borderId="0" xfId="2" applyNumberFormat="1" applyFont="1">
      <alignment vertical="center"/>
    </xf>
    <xf numFmtId="0" fontId="4" fillId="0" borderId="0" xfId="0" applyFont="1">
      <alignment vertical="center"/>
    </xf>
    <xf numFmtId="0" fontId="0" fillId="4" borderId="0" xfId="0" applyFill="1">
      <alignment vertical="center"/>
    </xf>
    <xf numFmtId="0" fontId="5" fillId="0" borderId="0" xfId="0" applyFont="1">
      <alignment vertical="center"/>
    </xf>
    <xf numFmtId="0" fontId="6" fillId="0" borderId="0" xfId="1" applyFont="1" applyAlignment="1">
      <alignment horizontal="right" vertical="justify" wrapText="1"/>
    </xf>
    <xf numFmtId="0" fontId="5" fillId="4" borderId="0" xfId="0" applyFont="1" applyFill="1">
      <alignment vertical="center"/>
    </xf>
    <xf numFmtId="49" fontId="5" fillId="0" borderId="0" xfId="0" applyNumberFormat="1" applyFont="1">
      <alignment vertical="center"/>
    </xf>
    <xf numFmtId="3" fontId="5" fillId="0" borderId="0" xfId="0" applyNumberFormat="1" applyFont="1">
      <alignment vertical="center"/>
    </xf>
    <xf numFmtId="0" fontId="0" fillId="0" borderId="0" xfId="0" applyAlignment="1"/>
    <xf numFmtId="0" fontId="5" fillId="0" borderId="0" xfId="0" applyFont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7" fillId="0" borderId="0" xfId="0" applyFont="1">
      <alignment vertical="center"/>
    </xf>
    <xf numFmtId="3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0" borderId="1" xfId="0" applyFont="1" applyBorder="1">
      <alignment vertical="center"/>
    </xf>
    <xf numFmtId="0" fontId="10" fillId="0" borderId="0" xfId="1" applyFont="1" applyAlignment="1">
      <alignment horizontal="right" vertical="justify" wrapText="1"/>
    </xf>
    <xf numFmtId="0" fontId="8" fillId="0" borderId="1" xfId="0" applyFont="1" applyBorder="1">
      <alignment vertical="center"/>
    </xf>
  </cellXfs>
  <cellStyles count="3">
    <cellStyle name="Normal" xfId="0" builtinId="0"/>
    <cellStyle name="표준_M6582 (TAVI volume)" xfId="1" xr:uid="{7926DC4F-6838-4B14-9279-9F278DE46CFB}"/>
    <cellStyle name="표준_O1796 (Redo SAVR volume)" xfId="2" xr:uid="{37376C88-94FD-48AE-9096-CF3B110D04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
<Relationships xmlns="http://schemas.openxmlformats.org/package/2006/relationships">
  <Relationship Id="rId8" Type="http://schemas.openxmlformats.org/officeDocument/2006/relationships/calcChain" Target="calcChain.xml" />
  <Relationship Id="rId3" Type="http://schemas.openxmlformats.org/officeDocument/2006/relationships/worksheet" Target="worksheets/sheet3.xml" />
  <Relationship Id="rId7" Type="http://schemas.openxmlformats.org/officeDocument/2006/relationships/sharedStrings" Target="sharedStrings.xml" />
  <Relationship Id="rId2" Type="http://schemas.openxmlformats.org/officeDocument/2006/relationships/worksheet" Target="worksheets/sheet2.xml" />
  <Relationship Id="rId1" Type="http://schemas.openxmlformats.org/officeDocument/2006/relationships/worksheet" Target="worksheets/sheet1.xml" />
  <Relationship Id="rId6" Type="http://schemas.openxmlformats.org/officeDocument/2006/relationships/styles" Target="styles.xml" />
  <Relationship Id="rId5" Type="http://schemas.openxmlformats.org/officeDocument/2006/relationships/theme" Target="theme/theme1.xml" />
  <Relationship Id="rId4" Type="http://schemas.openxmlformats.org/officeDocument/2006/relationships/worksheet" Target="worksheets/sheet4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&#65279;<?xml version="1.0" encoding="utf-8" standalone="yes"?>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55153-3090-498A-A649-FC116B838BD8}">
  <dimension ref="A1:P45"/>
  <sheetViews>
    <sheetView tabSelected="1" topLeftCell="A25" workbookViewId="0">
      <selection sqref="A1:P49"/>
    </sheetView>
  </sheetViews>
  <sheetFormatPr baseColWidth="10" defaultColWidth="9.1640625" defaultRowHeight="15"/>
  <cols>
    <col min="1" max="16384" width="9.1640625" style="7"/>
  </cols>
  <sheetData>
    <row r="1" spans="1:15">
      <c r="B1" s="14" t="s">
        <v>25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>
      <c r="C2" s="13" t="s">
        <v>4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5">
      <c r="C3" s="7">
        <v>2012</v>
      </c>
      <c r="D3" s="7">
        <v>2013</v>
      </c>
      <c r="E3" s="7">
        <v>2014</v>
      </c>
      <c r="F3" s="7">
        <v>2015</v>
      </c>
      <c r="G3" s="7">
        <v>2016</v>
      </c>
      <c r="H3" s="7">
        <v>2017</v>
      </c>
      <c r="I3" s="7">
        <v>2018</v>
      </c>
      <c r="J3" s="7">
        <v>2019</v>
      </c>
      <c r="K3" s="7">
        <v>2020</v>
      </c>
      <c r="L3" s="7">
        <v>2021</v>
      </c>
      <c r="M3" s="7">
        <v>2022</v>
      </c>
      <c r="N3" s="7">
        <v>2023</v>
      </c>
      <c r="O3" s="7">
        <v>2024</v>
      </c>
    </row>
    <row r="4" spans="1:15">
      <c r="A4" s="7" t="s">
        <v>0</v>
      </c>
      <c r="B4" s="7" t="s">
        <v>3</v>
      </c>
    </row>
    <row r="5" spans="1:15">
      <c r="A5" s="9" t="s">
        <v>1</v>
      </c>
      <c r="B5" s="7" t="s">
        <v>5</v>
      </c>
      <c r="C5" s="7">
        <v>0</v>
      </c>
      <c r="D5" s="7">
        <v>0</v>
      </c>
      <c r="E5" s="7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</row>
    <row r="6" spans="1:15">
      <c r="A6" s="9" t="s">
        <v>1</v>
      </c>
      <c r="B6" s="10" t="s">
        <v>6</v>
      </c>
      <c r="C6" s="7">
        <v>0</v>
      </c>
      <c r="D6" s="7">
        <v>0</v>
      </c>
      <c r="E6" s="7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</row>
    <row r="7" spans="1:15">
      <c r="A7" s="9" t="s">
        <v>1</v>
      </c>
      <c r="B7" s="10" t="s">
        <v>7</v>
      </c>
      <c r="C7" s="7">
        <v>0</v>
      </c>
      <c r="D7" s="7">
        <v>0</v>
      </c>
      <c r="E7" s="7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</row>
    <row r="8" spans="1:15">
      <c r="A8" s="9" t="s">
        <v>1</v>
      </c>
      <c r="B8" s="7" t="s">
        <v>8</v>
      </c>
      <c r="C8" s="7">
        <v>0</v>
      </c>
      <c r="D8" s="7">
        <v>0</v>
      </c>
      <c r="E8" s="7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</row>
    <row r="9" spans="1:15">
      <c r="A9" s="9" t="s">
        <v>1</v>
      </c>
      <c r="B9" s="7" t="s">
        <v>9</v>
      </c>
      <c r="C9" s="7">
        <v>0</v>
      </c>
      <c r="D9" s="7">
        <v>0</v>
      </c>
      <c r="E9" s="7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</row>
    <row r="10" spans="1:15">
      <c r="A10" s="9" t="s">
        <v>1</v>
      </c>
      <c r="B10" s="7" t="s">
        <v>10</v>
      </c>
      <c r="C10" s="7">
        <v>0</v>
      </c>
      <c r="D10" s="7">
        <v>0</v>
      </c>
      <c r="E10" s="7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</row>
    <row r="11" spans="1:15">
      <c r="A11" s="9" t="s">
        <v>1</v>
      </c>
      <c r="B11" s="7" t="s">
        <v>11</v>
      </c>
      <c r="C11" s="7">
        <v>0</v>
      </c>
      <c r="D11" s="7">
        <v>0</v>
      </c>
      <c r="E11" s="7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</row>
    <row r="12" spans="1:15">
      <c r="A12" s="9" t="s">
        <v>1</v>
      </c>
      <c r="B12" s="7" t="s">
        <v>12</v>
      </c>
      <c r="C12" s="7">
        <v>0</v>
      </c>
      <c r="D12" s="7">
        <v>0</v>
      </c>
      <c r="E12" s="7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</row>
    <row r="13" spans="1:15">
      <c r="A13" s="9" t="s">
        <v>1</v>
      </c>
      <c r="B13" s="7" t="s">
        <v>13</v>
      </c>
      <c r="C13" s="7">
        <v>0</v>
      </c>
      <c r="D13">
        <v>1</v>
      </c>
      <c r="E13" s="7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</row>
    <row r="14" spans="1:15">
      <c r="A14" s="9" t="s">
        <v>1</v>
      </c>
      <c r="B14" s="7" t="s">
        <v>14</v>
      </c>
      <c r="C14" s="7">
        <v>1</v>
      </c>
      <c r="D14" s="7">
        <v>0</v>
      </c>
      <c r="E14" s="7">
        <v>0</v>
      </c>
      <c r="F14">
        <v>1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</row>
    <row r="15" spans="1:15">
      <c r="A15" s="9" t="s">
        <v>1</v>
      </c>
      <c r="B15" s="7" t="s">
        <v>15</v>
      </c>
      <c r="C15" s="7">
        <v>0</v>
      </c>
      <c r="D15" s="7">
        <v>0</v>
      </c>
      <c r="E15" s="7">
        <v>0</v>
      </c>
      <c r="F15" s="7">
        <v>0</v>
      </c>
      <c r="G15">
        <v>1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</row>
    <row r="16" spans="1:15">
      <c r="A16" s="9" t="s">
        <v>1</v>
      </c>
      <c r="B16" s="7" t="s">
        <v>16</v>
      </c>
      <c r="C16" s="7">
        <v>0</v>
      </c>
      <c r="D16" s="7">
        <v>0</v>
      </c>
      <c r="E16">
        <v>1</v>
      </c>
      <c r="F16">
        <v>1</v>
      </c>
      <c r="G16" s="7">
        <v>0</v>
      </c>
      <c r="H16">
        <v>1</v>
      </c>
      <c r="I16" s="8">
        <v>0</v>
      </c>
      <c r="J16" s="8">
        <v>0</v>
      </c>
      <c r="K16" s="8">
        <v>0</v>
      </c>
      <c r="L16">
        <v>3</v>
      </c>
      <c r="M16" s="8">
        <v>0</v>
      </c>
      <c r="N16" s="8">
        <v>0</v>
      </c>
      <c r="O16">
        <v>1</v>
      </c>
    </row>
    <row r="17" spans="1:15">
      <c r="A17" s="9" t="s">
        <v>1</v>
      </c>
      <c r="B17" s="7" t="s">
        <v>19</v>
      </c>
      <c r="C17" s="7">
        <v>1</v>
      </c>
      <c r="D17">
        <v>2</v>
      </c>
      <c r="E17" s="7">
        <v>1</v>
      </c>
      <c r="F17">
        <v>1</v>
      </c>
      <c r="G17" s="7">
        <v>0</v>
      </c>
      <c r="H17" s="7">
        <v>1</v>
      </c>
      <c r="I17" s="7">
        <v>0</v>
      </c>
      <c r="J17" s="8">
        <v>0</v>
      </c>
      <c r="K17" s="8">
        <v>0</v>
      </c>
      <c r="L17">
        <v>1</v>
      </c>
      <c r="M17">
        <v>2</v>
      </c>
      <c r="N17">
        <v>1</v>
      </c>
      <c r="O17">
        <v>2</v>
      </c>
    </row>
    <row r="18" spans="1:15">
      <c r="A18" s="9" t="s">
        <v>1</v>
      </c>
      <c r="B18" s="7" t="s">
        <v>17</v>
      </c>
      <c r="C18" s="7">
        <v>1</v>
      </c>
      <c r="D18">
        <v>4</v>
      </c>
      <c r="E18">
        <v>0</v>
      </c>
      <c r="F18">
        <v>1</v>
      </c>
      <c r="G18">
        <v>1</v>
      </c>
      <c r="H18" s="7">
        <v>1</v>
      </c>
      <c r="I18" s="7">
        <v>2</v>
      </c>
      <c r="J18">
        <v>2</v>
      </c>
      <c r="K18">
        <v>3</v>
      </c>
      <c r="L18">
        <v>3</v>
      </c>
      <c r="M18">
        <v>4</v>
      </c>
      <c r="N18" s="8">
        <v>2</v>
      </c>
      <c r="O18">
        <v>7</v>
      </c>
    </row>
    <row r="19" spans="1:15">
      <c r="A19" s="9" t="s">
        <v>1</v>
      </c>
      <c r="B19" s="7" t="s">
        <v>18</v>
      </c>
      <c r="C19" s="7">
        <v>1</v>
      </c>
      <c r="D19">
        <v>2</v>
      </c>
      <c r="E19">
        <v>4</v>
      </c>
      <c r="F19">
        <v>1</v>
      </c>
      <c r="G19">
        <v>1</v>
      </c>
      <c r="H19" s="7">
        <v>1</v>
      </c>
      <c r="I19" s="7">
        <v>5</v>
      </c>
      <c r="J19" s="8">
        <v>3</v>
      </c>
      <c r="K19">
        <v>4</v>
      </c>
      <c r="L19">
        <v>7</v>
      </c>
      <c r="M19">
        <v>8</v>
      </c>
      <c r="N19" s="8">
        <v>8</v>
      </c>
      <c r="O19">
        <v>7</v>
      </c>
    </row>
    <row r="20" spans="1:15">
      <c r="A20" s="9" t="s">
        <v>1</v>
      </c>
      <c r="B20" s="7" t="s">
        <v>20</v>
      </c>
      <c r="C20" s="7">
        <v>1</v>
      </c>
      <c r="D20">
        <v>2</v>
      </c>
      <c r="E20">
        <v>6</v>
      </c>
      <c r="F20">
        <v>1</v>
      </c>
      <c r="G20">
        <v>1</v>
      </c>
      <c r="H20" s="7">
        <v>7</v>
      </c>
      <c r="I20" s="7">
        <v>2</v>
      </c>
      <c r="J20" s="8">
        <v>4</v>
      </c>
      <c r="K20">
        <v>4</v>
      </c>
      <c r="L20">
        <v>4</v>
      </c>
      <c r="M20">
        <v>8</v>
      </c>
      <c r="N20" s="8">
        <v>14</v>
      </c>
      <c r="O20">
        <v>16</v>
      </c>
    </row>
    <row r="21" spans="1:15">
      <c r="A21" s="9" t="s">
        <v>1</v>
      </c>
      <c r="B21" s="7" t="s">
        <v>21</v>
      </c>
      <c r="C21" s="7">
        <v>3</v>
      </c>
      <c r="D21">
        <v>7</v>
      </c>
      <c r="E21">
        <v>9</v>
      </c>
      <c r="F21">
        <v>10</v>
      </c>
      <c r="G21">
        <v>9</v>
      </c>
      <c r="H21" s="7">
        <v>3</v>
      </c>
      <c r="I21" s="7">
        <v>14</v>
      </c>
      <c r="J21" s="8">
        <v>8</v>
      </c>
      <c r="K21">
        <v>14</v>
      </c>
      <c r="L21">
        <v>20</v>
      </c>
      <c r="M21">
        <v>13</v>
      </c>
      <c r="N21" s="8">
        <v>11</v>
      </c>
      <c r="O21">
        <v>13</v>
      </c>
    </row>
    <row r="22" spans="1:15">
      <c r="A22" s="9" t="s">
        <v>1</v>
      </c>
      <c r="B22" s="7" t="s">
        <v>22</v>
      </c>
      <c r="C22" s="19">
        <f>SUM(C5:C21)</f>
        <v>8</v>
      </c>
      <c r="D22" s="19">
        <f>SUM(D5:D21)</f>
        <v>18</v>
      </c>
      <c r="E22" s="19">
        <f>SUM(E5:E21)</f>
        <v>21</v>
      </c>
      <c r="F22" s="24">
        <f>SUM(F5:F21)</f>
        <v>16</v>
      </c>
      <c r="G22" s="24">
        <f>SUM(G5:G21)</f>
        <v>13</v>
      </c>
      <c r="H22" s="24">
        <f>SUM(H5:H21)</f>
        <v>14</v>
      </c>
      <c r="I22" s="24">
        <f>SUM(I5:I21)</f>
        <v>23</v>
      </c>
      <c r="J22" s="23">
        <f>SUM(J5:J21)</f>
        <v>17</v>
      </c>
      <c r="K22" s="19">
        <f>SUM(K5:K21)</f>
        <v>25</v>
      </c>
      <c r="L22" s="19">
        <f>SUM(L5:L21)</f>
        <v>38</v>
      </c>
      <c r="M22" s="19">
        <f>SUM(M5:M21)</f>
        <v>35</v>
      </c>
      <c r="N22" s="21">
        <f>SUM(N5:N21)</f>
        <v>36</v>
      </c>
      <c r="O22" s="21">
        <f>SUM(O5:O21)</f>
        <v>46</v>
      </c>
    </row>
    <row r="23" spans="1:15">
      <c r="F23"/>
      <c r="G23"/>
      <c r="H23" s="11"/>
      <c r="I23" s="11"/>
      <c r="J23" s="11"/>
      <c r="K23" s="11"/>
      <c r="L23" s="11"/>
      <c r="M23" s="11"/>
      <c r="N23" s="11"/>
    </row>
    <row r="24" spans="1:15">
      <c r="F24"/>
      <c r="G24"/>
    </row>
    <row r="25" spans="1:15">
      <c r="A25" s="9" t="s">
        <v>2</v>
      </c>
      <c r="B25" s="7" t="s">
        <v>5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8">
        <v>0</v>
      </c>
      <c r="N25" s="8">
        <v>0</v>
      </c>
      <c r="O25" s="8">
        <v>0</v>
      </c>
    </row>
    <row r="26" spans="1:15">
      <c r="A26" s="9" t="s">
        <v>2</v>
      </c>
      <c r="B26" s="10" t="s">
        <v>6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8">
        <v>0</v>
      </c>
      <c r="N26" s="8">
        <v>0</v>
      </c>
      <c r="O26" s="8">
        <v>0</v>
      </c>
    </row>
    <row r="27" spans="1:15">
      <c r="A27" s="9" t="s">
        <v>2</v>
      </c>
      <c r="B27" s="10" t="s">
        <v>7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8">
        <v>0</v>
      </c>
      <c r="N27" s="8">
        <v>0</v>
      </c>
      <c r="O27" s="8">
        <v>0</v>
      </c>
    </row>
    <row r="28" spans="1:15">
      <c r="A28" s="9" t="s">
        <v>2</v>
      </c>
      <c r="B28" s="7" t="s">
        <v>8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8">
        <v>0</v>
      </c>
      <c r="N28" s="8">
        <v>0</v>
      </c>
      <c r="O28" s="8">
        <v>0</v>
      </c>
    </row>
    <row r="29" spans="1:15">
      <c r="A29" s="9" t="s">
        <v>2</v>
      </c>
      <c r="B29" s="7" t="s">
        <v>9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8">
        <v>0</v>
      </c>
      <c r="N29" s="8">
        <v>0</v>
      </c>
      <c r="O29" s="8">
        <v>0</v>
      </c>
    </row>
    <row r="30" spans="1:15">
      <c r="A30" s="9" t="s">
        <v>2</v>
      </c>
      <c r="B30" s="7" t="s">
        <v>10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8">
        <v>0</v>
      </c>
      <c r="N30" s="8">
        <v>0</v>
      </c>
      <c r="O30" s="8">
        <v>0</v>
      </c>
    </row>
    <row r="31" spans="1:15">
      <c r="A31" s="9" t="s">
        <v>2</v>
      </c>
      <c r="B31" s="7" t="s">
        <v>11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8">
        <v>0</v>
      </c>
      <c r="N31" s="8">
        <v>0</v>
      </c>
      <c r="O31" s="8">
        <v>0</v>
      </c>
    </row>
    <row r="32" spans="1:15">
      <c r="A32" s="9" t="s">
        <v>2</v>
      </c>
      <c r="B32" s="7" t="s">
        <v>12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8">
        <v>0</v>
      </c>
      <c r="N32" s="8">
        <v>0</v>
      </c>
      <c r="O32" s="8">
        <v>0</v>
      </c>
    </row>
    <row r="33" spans="1:16">
      <c r="A33" s="9" t="s">
        <v>2</v>
      </c>
      <c r="B33" s="7" t="s">
        <v>13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8">
        <v>0</v>
      </c>
      <c r="N33" s="8">
        <v>0</v>
      </c>
      <c r="O33" s="8">
        <v>0</v>
      </c>
    </row>
    <row r="34" spans="1:16">
      <c r="A34" s="9" t="s">
        <v>2</v>
      </c>
      <c r="B34" s="7" t="s">
        <v>14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8">
        <v>0</v>
      </c>
      <c r="N34" s="8">
        <v>0</v>
      </c>
      <c r="O34" s="8">
        <v>0</v>
      </c>
    </row>
    <row r="35" spans="1:16">
      <c r="A35" s="9" t="s">
        <v>2</v>
      </c>
      <c r="B35" s="7" t="s">
        <v>15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8">
        <v>0</v>
      </c>
      <c r="N35" s="8">
        <v>0</v>
      </c>
      <c r="O35" s="8">
        <v>0</v>
      </c>
    </row>
    <row r="36" spans="1:16">
      <c r="A36" s="9" t="s">
        <v>2</v>
      </c>
      <c r="B36" s="7" t="s">
        <v>16</v>
      </c>
      <c r="C36" s="7">
        <v>0</v>
      </c>
      <c r="D36">
        <v>1</v>
      </c>
      <c r="E36" s="7">
        <v>0</v>
      </c>
      <c r="F36" s="7">
        <v>0</v>
      </c>
      <c r="G36">
        <v>1</v>
      </c>
      <c r="H36" s="7">
        <v>0</v>
      </c>
      <c r="I36" s="7">
        <v>0</v>
      </c>
      <c r="J36" s="7">
        <v>0</v>
      </c>
      <c r="K36" s="7">
        <v>0</v>
      </c>
      <c r="L36">
        <v>2</v>
      </c>
      <c r="M36" s="8">
        <v>0</v>
      </c>
      <c r="N36" s="8">
        <v>0</v>
      </c>
      <c r="O36">
        <v>1</v>
      </c>
    </row>
    <row r="37" spans="1:16">
      <c r="A37" s="9" t="s">
        <v>2</v>
      </c>
      <c r="B37" s="7" t="s">
        <v>19</v>
      </c>
      <c r="C37">
        <v>0</v>
      </c>
      <c r="D37">
        <v>1</v>
      </c>
      <c r="E37">
        <v>0</v>
      </c>
      <c r="F37">
        <v>1</v>
      </c>
      <c r="G37">
        <v>1</v>
      </c>
      <c r="H37">
        <v>1</v>
      </c>
      <c r="I37">
        <v>1</v>
      </c>
      <c r="J37" s="7">
        <v>0</v>
      </c>
      <c r="K37">
        <v>1</v>
      </c>
      <c r="L37">
        <v>0</v>
      </c>
      <c r="M37">
        <v>1</v>
      </c>
      <c r="N37">
        <v>2</v>
      </c>
      <c r="O37">
        <v>1</v>
      </c>
    </row>
    <row r="38" spans="1:16">
      <c r="A38" s="9" t="s">
        <v>2</v>
      </c>
      <c r="B38" s="7" t="s">
        <v>17</v>
      </c>
      <c r="C38" s="7">
        <v>0</v>
      </c>
      <c r="D38">
        <v>2</v>
      </c>
      <c r="E38">
        <v>1</v>
      </c>
      <c r="F38" s="7">
        <v>2</v>
      </c>
      <c r="G38" s="7">
        <v>1</v>
      </c>
      <c r="H38" s="7">
        <v>4</v>
      </c>
      <c r="I38" s="7">
        <v>0</v>
      </c>
      <c r="J38" s="7">
        <v>0</v>
      </c>
      <c r="K38">
        <v>2</v>
      </c>
      <c r="L38">
        <v>6</v>
      </c>
      <c r="M38">
        <v>2</v>
      </c>
      <c r="N38">
        <v>6</v>
      </c>
      <c r="O38">
        <v>8</v>
      </c>
    </row>
    <row r="39" spans="1:16">
      <c r="A39" s="9" t="s">
        <v>2</v>
      </c>
      <c r="B39" s="7" t="s">
        <v>18</v>
      </c>
      <c r="C39">
        <v>3</v>
      </c>
      <c r="D39">
        <v>1</v>
      </c>
      <c r="E39">
        <v>2</v>
      </c>
      <c r="F39" s="7">
        <v>1</v>
      </c>
      <c r="G39" s="7">
        <v>5</v>
      </c>
      <c r="H39" s="7">
        <v>6</v>
      </c>
      <c r="I39" s="7">
        <v>3</v>
      </c>
      <c r="J39">
        <v>2</v>
      </c>
      <c r="K39">
        <v>3</v>
      </c>
      <c r="L39">
        <v>7</v>
      </c>
      <c r="M39">
        <v>7</v>
      </c>
      <c r="N39">
        <v>7</v>
      </c>
      <c r="O39">
        <v>9</v>
      </c>
    </row>
    <row r="40" spans="1:16">
      <c r="A40" s="9" t="s">
        <v>2</v>
      </c>
      <c r="B40" s="7" t="s">
        <v>20</v>
      </c>
      <c r="C40">
        <v>4</v>
      </c>
      <c r="D40">
        <v>2</v>
      </c>
      <c r="E40">
        <v>2</v>
      </c>
      <c r="F40" s="7">
        <v>2</v>
      </c>
      <c r="G40" s="7">
        <v>4</v>
      </c>
      <c r="H40" s="7">
        <v>4</v>
      </c>
      <c r="I40" s="7">
        <v>5</v>
      </c>
      <c r="J40">
        <v>2</v>
      </c>
      <c r="K40">
        <v>6</v>
      </c>
      <c r="L40">
        <v>7</v>
      </c>
      <c r="M40">
        <v>9</v>
      </c>
      <c r="N40">
        <v>8</v>
      </c>
      <c r="O40">
        <v>12</v>
      </c>
    </row>
    <row r="41" spans="1:16">
      <c r="A41" s="9" t="s">
        <v>2</v>
      </c>
      <c r="B41" s="7" t="s">
        <v>21</v>
      </c>
      <c r="C41">
        <v>4</v>
      </c>
      <c r="D41">
        <v>7</v>
      </c>
      <c r="E41">
        <v>4</v>
      </c>
      <c r="F41" s="7">
        <v>5</v>
      </c>
      <c r="G41" s="7">
        <v>5</v>
      </c>
      <c r="H41" s="7">
        <v>6</v>
      </c>
      <c r="I41" s="7">
        <v>10</v>
      </c>
      <c r="J41">
        <v>12</v>
      </c>
      <c r="K41">
        <v>10</v>
      </c>
      <c r="L41">
        <v>18</v>
      </c>
      <c r="M41">
        <v>20</v>
      </c>
      <c r="N41">
        <v>14</v>
      </c>
      <c r="O41">
        <v>11</v>
      </c>
    </row>
    <row r="42" spans="1:16">
      <c r="A42" s="9" t="s">
        <v>2</v>
      </c>
      <c r="B42" s="7" t="s">
        <v>22</v>
      </c>
      <c r="C42" s="19">
        <f>SUM(C25:C41)</f>
        <v>11</v>
      </c>
      <c r="D42" s="19">
        <f>SUM(D25:D41)</f>
        <v>14</v>
      </c>
      <c r="E42" s="19">
        <f>SUM(E25:E41)</f>
        <v>9</v>
      </c>
      <c r="F42" s="19">
        <f>SUM(F25:F41)</f>
        <v>11</v>
      </c>
      <c r="G42" s="19">
        <f>SUM(G25:G41)</f>
        <v>17</v>
      </c>
      <c r="H42" s="19">
        <f>SUM(H25:H41)</f>
        <v>21</v>
      </c>
      <c r="I42" s="19">
        <f>SUM(I25:I41)</f>
        <v>19</v>
      </c>
      <c r="J42" s="22">
        <f>SUM(J25:J41)</f>
        <v>16</v>
      </c>
      <c r="K42" s="22">
        <f>SUM(K25:K41)</f>
        <v>22</v>
      </c>
      <c r="L42" s="22">
        <f>SUM(L25:L41)</f>
        <v>40</v>
      </c>
      <c r="M42" s="21">
        <f>SUM(M25:M41)</f>
        <v>39</v>
      </c>
      <c r="N42" s="21">
        <f>SUM(N25:N41)</f>
        <v>37</v>
      </c>
      <c r="O42" s="21">
        <f>SUM(O25:O41)</f>
        <v>42</v>
      </c>
    </row>
    <row r="43" spans="1:16">
      <c r="J43"/>
      <c r="K43"/>
      <c r="L43"/>
    </row>
    <row r="44" spans="1:16">
      <c r="A44" s="19"/>
      <c r="B44" s="19" t="s">
        <v>23</v>
      </c>
      <c r="C44" s="20">
        <f>SUM(C42, C22)</f>
        <v>19</v>
      </c>
      <c r="D44" s="20">
        <f>SUM(D42, D22)</f>
        <v>32</v>
      </c>
      <c r="E44" s="20">
        <f>SUM(E42, E22)</f>
        <v>30</v>
      </c>
      <c r="F44" s="20">
        <f>SUM(F42, F22)</f>
        <v>27</v>
      </c>
      <c r="G44" s="20">
        <f>SUM(G42, G22)</f>
        <v>30</v>
      </c>
      <c r="H44" s="20">
        <f>SUM(H42, H22)</f>
        <v>35</v>
      </c>
      <c r="I44" s="20">
        <f>SUM(I42, I22)</f>
        <v>42</v>
      </c>
      <c r="J44" s="20">
        <f>SUM(J42, J22)</f>
        <v>33</v>
      </c>
      <c r="K44" s="20">
        <f>SUM(K42, K22)</f>
        <v>47</v>
      </c>
      <c r="L44" s="20">
        <f>SUM(L42, L22)</f>
        <v>78</v>
      </c>
      <c r="M44" s="20">
        <f>SUM(M42, M22)</f>
        <v>74</v>
      </c>
      <c r="N44" s="20">
        <f>SUM(N42, N22)</f>
        <v>73</v>
      </c>
      <c r="O44" s="20">
        <f>SUM(O42, O22)</f>
        <v>88</v>
      </c>
      <c r="P44" s="19"/>
    </row>
    <row r="45" spans="1:16">
      <c r="B45" s="7" t="s">
        <v>29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</row>
  </sheetData>
  <mergeCells count="2">
    <mergeCell ref="C2:N2"/>
    <mergeCell ref="B1:O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17437-6619-4C76-80F7-4D00EF45161D}">
  <dimension ref="A1:G15"/>
  <sheetViews>
    <sheetView workbookViewId="0">
      <selection sqref="A1:G22"/>
    </sheetView>
  </sheetViews>
  <sheetFormatPr baseColWidth="10" defaultColWidth="8.83203125" defaultRowHeight="15"/>
  <cols>
    <col min="1" max="1" width="8.6640625" customWidth="1"/>
    <col min="2" max="2" width="21.6640625" bestFit="1" customWidth="1"/>
    <col min="3" max="3" width="20.1640625" bestFit="1" customWidth="1"/>
    <col min="4" max="4" width="47.1640625" bestFit="1" customWidth="1"/>
    <col min="5" max="5" width="24.5" bestFit="1" customWidth="1"/>
    <col min="6" max="6" width="21.33203125" customWidth="1"/>
  </cols>
  <sheetData>
    <row r="1" spans="1:7">
      <c r="B1" s="15" t="s">
        <v>27</v>
      </c>
      <c r="C1" s="15"/>
      <c r="D1" s="15"/>
      <c r="E1" s="15"/>
    </row>
    <row r="2" spans="1:7">
      <c r="A2" s="21" t="s">
        <v>4</v>
      </c>
      <c r="B2" s="21" t="s">
        <v>33</v>
      </c>
      <c r="C2" s="21" t="s">
        <v>32</v>
      </c>
      <c r="D2" s="21" t="s">
        <v>31</v>
      </c>
      <c r="E2" s="21" t="s">
        <v>30</v>
      </c>
      <c r="F2" s="21" t="s">
        <v>28</v>
      </c>
      <c r="G2" s="21"/>
    </row>
    <row r="3" spans="1:7">
      <c r="A3" s="21">
        <v>2012</v>
      </c>
      <c r="B3">
        <v>19</v>
      </c>
      <c r="C3">
        <v>6</v>
      </c>
      <c r="D3">
        <v>6</v>
      </c>
      <c r="E3">
        <v>7</v>
      </c>
      <c r="F3">
        <v>0</v>
      </c>
    </row>
    <row r="4" spans="1:7">
      <c r="A4" s="21">
        <v>2013</v>
      </c>
      <c r="B4">
        <v>32</v>
      </c>
      <c r="C4">
        <v>11</v>
      </c>
      <c r="D4">
        <v>10</v>
      </c>
      <c r="E4">
        <v>11</v>
      </c>
      <c r="F4">
        <v>0</v>
      </c>
    </row>
    <row r="5" spans="1:7">
      <c r="A5" s="21">
        <v>2014</v>
      </c>
      <c r="B5">
        <v>30</v>
      </c>
      <c r="C5">
        <v>11</v>
      </c>
      <c r="D5">
        <v>8</v>
      </c>
      <c r="E5">
        <v>11</v>
      </c>
      <c r="F5">
        <v>0</v>
      </c>
    </row>
    <row r="6" spans="1:7">
      <c r="A6" s="21">
        <v>2015</v>
      </c>
      <c r="B6">
        <v>27</v>
      </c>
      <c r="C6">
        <v>8</v>
      </c>
      <c r="D6">
        <v>9</v>
      </c>
      <c r="E6">
        <v>10</v>
      </c>
      <c r="F6">
        <v>0</v>
      </c>
    </row>
    <row r="7" spans="1:7">
      <c r="A7" s="21">
        <v>2016</v>
      </c>
      <c r="B7">
        <v>30</v>
      </c>
      <c r="C7">
        <v>16</v>
      </c>
      <c r="D7">
        <v>10</v>
      </c>
      <c r="E7">
        <v>4</v>
      </c>
      <c r="F7">
        <v>0</v>
      </c>
    </row>
    <row r="8" spans="1:7">
      <c r="A8" s="21">
        <v>2017</v>
      </c>
      <c r="B8">
        <v>35</v>
      </c>
      <c r="C8">
        <v>16</v>
      </c>
      <c r="D8">
        <v>14</v>
      </c>
      <c r="E8">
        <v>5</v>
      </c>
      <c r="F8">
        <v>0</v>
      </c>
    </row>
    <row r="9" spans="1:7">
      <c r="A9" s="21">
        <v>2018</v>
      </c>
      <c r="B9">
        <f>SUM(C9:F9)</f>
        <v>42</v>
      </c>
      <c r="C9">
        <v>16</v>
      </c>
      <c r="D9">
        <v>20</v>
      </c>
      <c r="E9">
        <v>6</v>
      </c>
      <c r="F9">
        <v>0</v>
      </c>
    </row>
    <row r="10" spans="1:7">
      <c r="A10" s="21">
        <v>2019</v>
      </c>
      <c r="B10">
        <v>33</v>
      </c>
      <c r="C10">
        <v>15</v>
      </c>
      <c r="D10">
        <v>13</v>
      </c>
      <c r="E10">
        <v>5</v>
      </c>
      <c r="F10">
        <v>0</v>
      </c>
    </row>
    <row r="11" spans="1:7">
      <c r="A11" s="21">
        <v>2020</v>
      </c>
      <c r="B11">
        <v>47</v>
      </c>
      <c r="C11">
        <v>19</v>
      </c>
      <c r="D11">
        <v>18</v>
      </c>
      <c r="E11">
        <v>9</v>
      </c>
      <c r="F11">
        <v>1</v>
      </c>
    </row>
    <row r="12" spans="1:7">
      <c r="A12" s="21">
        <v>2021</v>
      </c>
      <c r="B12">
        <f>SUM(C12:F12)</f>
        <v>78</v>
      </c>
      <c r="C12">
        <v>36</v>
      </c>
      <c r="D12">
        <v>27</v>
      </c>
      <c r="E12">
        <v>6</v>
      </c>
      <c r="F12">
        <v>9</v>
      </c>
    </row>
    <row r="13" spans="1:7">
      <c r="A13" s="21">
        <v>2022</v>
      </c>
      <c r="B13">
        <f>SUM(C13:F13)</f>
        <v>74</v>
      </c>
      <c r="C13">
        <v>47</v>
      </c>
      <c r="D13">
        <v>22</v>
      </c>
      <c r="E13">
        <v>3</v>
      </c>
      <c r="F13">
        <v>2</v>
      </c>
    </row>
    <row r="14" spans="1:7">
      <c r="A14" s="21">
        <v>2023</v>
      </c>
      <c r="B14">
        <f>SUM(C14:F14)</f>
        <v>73</v>
      </c>
      <c r="C14">
        <v>38</v>
      </c>
      <c r="D14">
        <v>25</v>
      </c>
      <c r="E14">
        <v>9</v>
      </c>
      <c r="F14">
        <v>1</v>
      </c>
    </row>
    <row r="15" spans="1:7">
      <c r="A15" s="21">
        <v>2024</v>
      </c>
      <c r="B15">
        <f>SUM(C15:F15)</f>
        <v>88</v>
      </c>
      <c r="C15">
        <v>41</v>
      </c>
      <c r="D15">
        <v>32</v>
      </c>
      <c r="E15">
        <v>12</v>
      </c>
      <c r="F15">
        <v>3</v>
      </c>
    </row>
  </sheetData>
  <mergeCells count="1">
    <mergeCell ref="B1:E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046E4-915E-4357-8BA6-0F1801B022B6}">
  <dimension ref="A1:P45"/>
  <sheetViews>
    <sheetView topLeftCell="A20" workbookViewId="0">
      <selection activeCell="J52" sqref="J52"/>
    </sheetView>
  </sheetViews>
  <sheetFormatPr baseColWidth="10" defaultColWidth="8.83203125" defaultRowHeight="15"/>
  <cols>
    <col min="2" max="2" width="9.83203125" bestFit="1" customWidth="1"/>
  </cols>
  <sheetData>
    <row r="1" spans="1:16" ht="16">
      <c r="B1" s="17" t="s">
        <v>24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5"/>
    </row>
    <row r="2" spans="1:16">
      <c r="C2" s="16" t="s">
        <v>4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6">
      <c r="C3">
        <v>2012</v>
      </c>
      <c r="D3">
        <v>2013</v>
      </c>
      <c r="E3">
        <v>2014</v>
      </c>
      <c r="F3">
        <v>2015</v>
      </c>
      <c r="G3">
        <v>2016</v>
      </c>
      <c r="H3">
        <v>2017</v>
      </c>
      <c r="I3">
        <v>2018</v>
      </c>
      <c r="J3">
        <v>2019</v>
      </c>
      <c r="K3">
        <v>2020</v>
      </c>
      <c r="L3">
        <v>2021</v>
      </c>
      <c r="M3">
        <v>2022</v>
      </c>
      <c r="N3">
        <v>2023</v>
      </c>
      <c r="O3">
        <v>2024</v>
      </c>
    </row>
    <row r="4" spans="1:16">
      <c r="A4" t="s">
        <v>0</v>
      </c>
      <c r="B4" t="s">
        <v>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6">
      <c r="A5" s="6" t="s">
        <v>1</v>
      </c>
      <c r="B5" t="s">
        <v>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6">
      <c r="A6" s="6" t="s">
        <v>1</v>
      </c>
      <c r="B6" s="2" t="s">
        <v>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6">
      <c r="A7" s="6" t="s">
        <v>1</v>
      </c>
      <c r="B7" s="2" t="s">
        <v>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6">
      <c r="A8" s="6" t="s">
        <v>1</v>
      </c>
      <c r="B8" t="s">
        <v>8</v>
      </c>
      <c r="G8">
        <v>1</v>
      </c>
      <c r="H8">
        <v>1</v>
      </c>
      <c r="I8">
        <v>0</v>
      </c>
      <c r="J8">
        <v>1</v>
      </c>
      <c r="K8">
        <v>2</v>
      </c>
      <c r="L8">
        <v>2</v>
      </c>
      <c r="M8">
        <v>0</v>
      </c>
      <c r="N8">
        <v>1</v>
      </c>
      <c r="O8">
        <v>0</v>
      </c>
    </row>
    <row r="9" spans="1:16">
      <c r="A9" s="6" t="s">
        <v>1</v>
      </c>
      <c r="B9" t="s">
        <v>9</v>
      </c>
      <c r="G9">
        <v>0</v>
      </c>
      <c r="H9">
        <v>0</v>
      </c>
      <c r="I9">
        <v>0</v>
      </c>
      <c r="J9">
        <v>0</v>
      </c>
      <c r="K9">
        <v>2</v>
      </c>
      <c r="L9">
        <v>1</v>
      </c>
      <c r="M9">
        <v>1</v>
      </c>
      <c r="N9">
        <v>0</v>
      </c>
      <c r="O9">
        <v>0</v>
      </c>
    </row>
    <row r="10" spans="1:16">
      <c r="A10" s="6" t="s">
        <v>1</v>
      </c>
      <c r="B10" t="s">
        <v>10</v>
      </c>
      <c r="G10">
        <v>0</v>
      </c>
      <c r="H10">
        <v>2</v>
      </c>
      <c r="I10">
        <v>2</v>
      </c>
      <c r="J10">
        <v>1</v>
      </c>
      <c r="K10">
        <v>0</v>
      </c>
      <c r="L10">
        <v>2</v>
      </c>
      <c r="M10">
        <v>2</v>
      </c>
      <c r="N10">
        <v>2</v>
      </c>
      <c r="O10">
        <v>1</v>
      </c>
    </row>
    <row r="11" spans="1:16">
      <c r="A11" s="6" t="s">
        <v>1</v>
      </c>
      <c r="B11" t="s">
        <v>11</v>
      </c>
      <c r="G11">
        <v>0</v>
      </c>
      <c r="H11">
        <v>1</v>
      </c>
      <c r="I11">
        <v>2</v>
      </c>
      <c r="J11">
        <v>4</v>
      </c>
      <c r="K11">
        <v>3</v>
      </c>
      <c r="L11">
        <v>1</v>
      </c>
      <c r="M11">
        <v>0</v>
      </c>
      <c r="N11">
        <v>2</v>
      </c>
      <c r="O11">
        <v>2</v>
      </c>
    </row>
    <row r="12" spans="1:16">
      <c r="A12" s="6" t="s">
        <v>1</v>
      </c>
      <c r="B12" t="s">
        <v>12</v>
      </c>
      <c r="G12">
        <v>4</v>
      </c>
      <c r="H12">
        <v>2</v>
      </c>
      <c r="I12">
        <v>2</v>
      </c>
      <c r="J12">
        <v>5</v>
      </c>
      <c r="K12">
        <v>2</v>
      </c>
      <c r="L12">
        <v>3</v>
      </c>
      <c r="M12">
        <v>3</v>
      </c>
      <c r="N12">
        <v>2</v>
      </c>
      <c r="O12">
        <v>0</v>
      </c>
    </row>
    <row r="13" spans="1:16">
      <c r="A13" s="6" t="s">
        <v>1</v>
      </c>
      <c r="B13" t="s">
        <v>13</v>
      </c>
      <c r="G13">
        <v>2</v>
      </c>
      <c r="H13">
        <v>2</v>
      </c>
      <c r="I13">
        <v>5</v>
      </c>
      <c r="J13">
        <v>2</v>
      </c>
      <c r="K13">
        <v>2</v>
      </c>
      <c r="L13">
        <v>3</v>
      </c>
      <c r="M13">
        <v>2</v>
      </c>
      <c r="N13">
        <v>3</v>
      </c>
      <c r="O13">
        <v>7</v>
      </c>
    </row>
    <row r="14" spans="1:16">
      <c r="A14" s="6" t="s">
        <v>1</v>
      </c>
      <c r="B14" t="s">
        <v>14</v>
      </c>
      <c r="G14">
        <v>5</v>
      </c>
      <c r="H14">
        <v>4</v>
      </c>
      <c r="I14">
        <v>6</v>
      </c>
      <c r="J14">
        <v>4</v>
      </c>
      <c r="K14">
        <v>9</v>
      </c>
      <c r="L14">
        <v>2</v>
      </c>
      <c r="M14">
        <v>6</v>
      </c>
      <c r="N14">
        <v>6</v>
      </c>
      <c r="O14">
        <v>4</v>
      </c>
    </row>
    <row r="15" spans="1:16">
      <c r="A15" s="6" t="s">
        <v>1</v>
      </c>
      <c r="B15" t="s">
        <v>15</v>
      </c>
      <c r="G15">
        <v>9</v>
      </c>
      <c r="H15">
        <v>10</v>
      </c>
      <c r="I15">
        <v>3</v>
      </c>
      <c r="J15">
        <v>10</v>
      </c>
      <c r="K15">
        <v>7</v>
      </c>
      <c r="L15">
        <v>8</v>
      </c>
      <c r="M15">
        <v>9</v>
      </c>
      <c r="N15">
        <v>7</v>
      </c>
      <c r="O15">
        <v>11</v>
      </c>
    </row>
    <row r="16" spans="1:16">
      <c r="A16" s="6" t="s">
        <v>1</v>
      </c>
      <c r="B16" t="s">
        <v>16</v>
      </c>
      <c r="G16">
        <v>14</v>
      </c>
      <c r="H16">
        <v>14</v>
      </c>
      <c r="I16">
        <v>20</v>
      </c>
      <c r="J16">
        <v>13</v>
      </c>
      <c r="K16">
        <v>7</v>
      </c>
      <c r="L16">
        <v>17</v>
      </c>
      <c r="M16">
        <v>10</v>
      </c>
      <c r="N16">
        <v>23</v>
      </c>
      <c r="O16">
        <v>12</v>
      </c>
    </row>
    <row r="17" spans="1:15">
      <c r="A17" s="6" t="s">
        <v>1</v>
      </c>
      <c r="B17" t="s">
        <v>19</v>
      </c>
      <c r="G17">
        <v>20</v>
      </c>
      <c r="H17">
        <v>19</v>
      </c>
      <c r="I17">
        <v>16</v>
      </c>
      <c r="J17">
        <v>22</v>
      </c>
      <c r="K17">
        <v>8</v>
      </c>
      <c r="L17">
        <v>12</v>
      </c>
      <c r="M17">
        <v>14</v>
      </c>
      <c r="N17">
        <v>18</v>
      </c>
      <c r="O17">
        <v>25</v>
      </c>
    </row>
    <row r="18" spans="1:15">
      <c r="A18" s="6" t="s">
        <v>1</v>
      </c>
      <c r="B18" t="s">
        <v>17</v>
      </c>
      <c r="G18">
        <v>5</v>
      </c>
      <c r="H18">
        <v>11</v>
      </c>
      <c r="I18">
        <v>14</v>
      </c>
      <c r="J18">
        <v>16</v>
      </c>
      <c r="K18">
        <v>15</v>
      </c>
      <c r="L18">
        <v>20</v>
      </c>
      <c r="M18">
        <v>18</v>
      </c>
      <c r="N18">
        <v>20</v>
      </c>
      <c r="O18">
        <v>26</v>
      </c>
    </row>
    <row r="19" spans="1:15">
      <c r="A19" s="6" t="s">
        <v>1</v>
      </c>
      <c r="B19" t="s">
        <v>18</v>
      </c>
      <c r="G19">
        <v>5</v>
      </c>
      <c r="H19">
        <v>10</v>
      </c>
      <c r="I19">
        <v>13</v>
      </c>
      <c r="J19">
        <v>6</v>
      </c>
      <c r="K19">
        <v>11</v>
      </c>
      <c r="L19">
        <v>10</v>
      </c>
      <c r="M19">
        <v>21</v>
      </c>
      <c r="N19">
        <v>12</v>
      </c>
      <c r="O19">
        <v>18</v>
      </c>
    </row>
    <row r="20" spans="1:15">
      <c r="A20" s="6" t="s">
        <v>1</v>
      </c>
      <c r="B20" t="s">
        <v>20</v>
      </c>
      <c r="G20">
        <v>11</v>
      </c>
      <c r="H20">
        <v>4</v>
      </c>
      <c r="I20">
        <v>8</v>
      </c>
      <c r="J20">
        <v>3</v>
      </c>
      <c r="K20">
        <v>5</v>
      </c>
      <c r="L20">
        <v>5</v>
      </c>
      <c r="M20">
        <v>1</v>
      </c>
      <c r="N20">
        <v>3</v>
      </c>
      <c r="O20">
        <v>12</v>
      </c>
    </row>
    <row r="21" spans="1:15">
      <c r="A21" s="6" t="s">
        <v>1</v>
      </c>
      <c r="B21" t="s">
        <v>21</v>
      </c>
      <c r="G21">
        <v>76</v>
      </c>
      <c r="H21">
        <v>80</v>
      </c>
      <c r="I21">
        <v>91</v>
      </c>
      <c r="J21">
        <v>87</v>
      </c>
      <c r="K21">
        <v>73</v>
      </c>
      <c r="L21">
        <v>86</v>
      </c>
      <c r="M21">
        <v>87</v>
      </c>
      <c r="N21">
        <v>99</v>
      </c>
      <c r="O21">
        <v>118</v>
      </c>
    </row>
    <row r="22" spans="1:15">
      <c r="A22" s="6" t="s">
        <v>1</v>
      </c>
      <c r="B22" t="s">
        <v>22</v>
      </c>
      <c r="F22" s="1"/>
      <c r="G22" s="1"/>
      <c r="H22" s="1"/>
      <c r="I22" s="1"/>
      <c r="J22" s="1"/>
      <c r="K22" s="1"/>
      <c r="L22" s="1"/>
      <c r="M22" s="1"/>
      <c r="N22" s="1"/>
    </row>
    <row r="23" spans="1:15">
      <c r="F23" s="1"/>
      <c r="G23" s="1"/>
      <c r="H23" s="1"/>
      <c r="I23" s="1"/>
      <c r="J23" s="1"/>
      <c r="K23" s="1"/>
      <c r="L23" s="1"/>
      <c r="M23" s="1"/>
      <c r="N23" s="1"/>
    </row>
    <row r="25" spans="1:15">
      <c r="A25" s="6" t="s">
        <v>2</v>
      </c>
      <c r="B25" t="s">
        <v>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s="6" t="s">
        <v>2</v>
      </c>
      <c r="B26" s="2" t="s">
        <v>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s="6" t="s">
        <v>2</v>
      </c>
      <c r="B27" s="2" t="s">
        <v>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s="6" t="s">
        <v>2</v>
      </c>
      <c r="B28" t="s">
        <v>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s="6" t="s">
        <v>2</v>
      </c>
      <c r="B29" t="s">
        <v>9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1</v>
      </c>
    </row>
    <row r="30" spans="1:15">
      <c r="A30" s="6" t="s">
        <v>2</v>
      </c>
      <c r="B30" t="s">
        <v>10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</row>
    <row r="31" spans="1:15">
      <c r="A31" s="6" t="s">
        <v>2</v>
      </c>
      <c r="B31" t="s">
        <v>11</v>
      </c>
      <c r="G31">
        <v>0</v>
      </c>
      <c r="H31">
        <v>0</v>
      </c>
      <c r="I31">
        <v>1</v>
      </c>
      <c r="J31">
        <v>1</v>
      </c>
      <c r="K31">
        <v>1</v>
      </c>
      <c r="L31">
        <v>0</v>
      </c>
      <c r="M31">
        <v>1</v>
      </c>
      <c r="N31">
        <v>1</v>
      </c>
      <c r="O31">
        <v>0</v>
      </c>
    </row>
    <row r="32" spans="1:15">
      <c r="A32" s="6" t="s">
        <v>2</v>
      </c>
      <c r="B32" t="s">
        <v>12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2</v>
      </c>
      <c r="O32">
        <v>0</v>
      </c>
    </row>
    <row r="33" spans="1:15">
      <c r="A33" s="6" t="s">
        <v>2</v>
      </c>
      <c r="B33" t="s">
        <v>13</v>
      </c>
      <c r="G33">
        <v>1</v>
      </c>
      <c r="H33">
        <v>0</v>
      </c>
      <c r="I33">
        <v>1</v>
      </c>
      <c r="J33">
        <v>1</v>
      </c>
      <c r="K33">
        <v>1</v>
      </c>
      <c r="L33">
        <v>1</v>
      </c>
      <c r="M33">
        <v>0</v>
      </c>
      <c r="N33">
        <v>0</v>
      </c>
      <c r="O33">
        <v>1</v>
      </c>
    </row>
    <row r="34" spans="1:15">
      <c r="A34" s="6" t="s">
        <v>2</v>
      </c>
      <c r="B34" t="s">
        <v>14</v>
      </c>
      <c r="G34">
        <v>0</v>
      </c>
      <c r="H34">
        <v>1</v>
      </c>
      <c r="I34">
        <v>1</v>
      </c>
      <c r="J34">
        <v>2</v>
      </c>
      <c r="K34">
        <v>1</v>
      </c>
      <c r="L34">
        <v>1</v>
      </c>
      <c r="M34">
        <v>0</v>
      </c>
      <c r="N34">
        <v>3</v>
      </c>
      <c r="O34">
        <v>1</v>
      </c>
    </row>
    <row r="35" spans="1:15">
      <c r="A35" s="6" t="s">
        <v>2</v>
      </c>
      <c r="B35" t="s">
        <v>15</v>
      </c>
      <c r="G35">
        <v>2</v>
      </c>
      <c r="H35">
        <v>1</v>
      </c>
      <c r="I35">
        <v>1</v>
      </c>
      <c r="J35">
        <v>2</v>
      </c>
      <c r="K35">
        <v>1</v>
      </c>
      <c r="L35">
        <v>1</v>
      </c>
      <c r="M35">
        <v>5</v>
      </c>
      <c r="N35">
        <v>2</v>
      </c>
      <c r="O35">
        <v>4</v>
      </c>
    </row>
    <row r="36" spans="1:15">
      <c r="A36" s="6" t="s">
        <v>2</v>
      </c>
      <c r="B36" t="s">
        <v>16</v>
      </c>
      <c r="G36">
        <v>3</v>
      </c>
      <c r="H36">
        <v>6</v>
      </c>
      <c r="I36">
        <v>3</v>
      </c>
      <c r="J36">
        <v>6</v>
      </c>
      <c r="K36">
        <v>8</v>
      </c>
      <c r="L36">
        <v>2</v>
      </c>
      <c r="M36">
        <v>5</v>
      </c>
      <c r="N36">
        <v>2</v>
      </c>
      <c r="O36">
        <v>6</v>
      </c>
    </row>
    <row r="37" spans="1:15">
      <c r="A37" s="6" t="s">
        <v>2</v>
      </c>
      <c r="B37" t="s">
        <v>19</v>
      </c>
      <c r="G37">
        <v>7</v>
      </c>
      <c r="H37">
        <v>5</v>
      </c>
      <c r="I37">
        <v>13</v>
      </c>
      <c r="J37">
        <v>8</v>
      </c>
      <c r="K37">
        <v>7</v>
      </c>
      <c r="L37">
        <v>11</v>
      </c>
      <c r="M37">
        <v>6</v>
      </c>
      <c r="N37">
        <v>9</v>
      </c>
      <c r="O37">
        <v>6</v>
      </c>
    </row>
    <row r="38" spans="1:15">
      <c r="A38" s="6" t="s">
        <v>2</v>
      </c>
      <c r="B38" t="s">
        <v>17</v>
      </c>
      <c r="G38">
        <v>7</v>
      </c>
      <c r="H38">
        <v>10</v>
      </c>
      <c r="I38">
        <v>6</v>
      </c>
      <c r="J38">
        <v>7</v>
      </c>
      <c r="K38">
        <v>5</v>
      </c>
      <c r="L38">
        <v>7</v>
      </c>
      <c r="M38">
        <v>8</v>
      </c>
      <c r="N38">
        <v>10</v>
      </c>
      <c r="O38">
        <v>9</v>
      </c>
    </row>
    <row r="39" spans="1:15">
      <c r="A39" s="6" t="s">
        <v>2</v>
      </c>
      <c r="B39" t="s">
        <v>18</v>
      </c>
      <c r="G39">
        <v>10</v>
      </c>
      <c r="H39">
        <v>15</v>
      </c>
      <c r="I39">
        <v>7</v>
      </c>
      <c r="J39">
        <v>12</v>
      </c>
      <c r="K39">
        <v>11</v>
      </c>
      <c r="L39">
        <v>8</v>
      </c>
      <c r="M39">
        <v>20</v>
      </c>
      <c r="N39">
        <v>12</v>
      </c>
      <c r="O39">
        <v>19</v>
      </c>
    </row>
    <row r="40" spans="1:15">
      <c r="A40" s="6" t="s">
        <v>2</v>
      </c>
      <c r="B40" t="s">
        <v>20</v>
      </c>
      <c r="G40">
        <v>8</v>
      </c>
      <c r="H40">
        <v>8</v>
      </c>
      <c r="I40">
        <v>9</v>
      </c>
      <c r="J40">
        <v>7</v>
      </c>
      <c r="K40">
        <v>6</v>
      </c>
      <c r="L40">
        <v>8</v>
      </c>
      <c r="M40">
        <v>4</v>
      </c>
      <c r="N40">
        <v>3</v>
      </c>
      <c r="O40">
        <v>11</v>
      </c>
    </row>
    <row r="41" spans="1:15">
      <c r="A41" s="6" t="s">
        <v>2</v>
      </c>
      <c r="B41" t="s">
        <v>21</v>
      </c>
      <c r="G41">
        <v>6</v>
      </c>
      <c r="H41">
        <v>9</v>
      </c>
      <c r="I41">
        <v>7</v>
      </c>
      <c r="J41">
        <v>5</v>
      </c>
      <c r="K41">
        <v>3</v>
      </c>
      <c r="L41">
        <v>1</v>
      </c>
      <c r="M41">
        <v>3</v>
      </c>
      <c r="N41">
        <v>2</v>
      </c>
      <c r="O41">
        <v>14</v>
      </c>
    </row>
    <row r="42" spans="1:15">
      <c r="A42" s="6" t="s">
        <v>2</v>
      </c>
      <c r="B42" t="s">
        <v>22</v>
      </c>
      <c r="G42">
        <v>45</v>
      </c>
      <c r="H42">
        <v>55</v>
      </c>
      <c r="I42">
        <v>49</v>
      </c>
      <c r="J42">
        <v>51</v>
      </c>
      <c r="K42">
        <v>46</v>
      </c>
      <c r="L42">
        <v>40</v>
      </c>
      <c r="M42">
        <v>52</v>
      </c>
      <c r="N42" s="1">
        <v>47</v>
      </c>
      <c r="O42">
        <v>72</v>
      </c>
    </row>
    <row r="44" spans="1:15">
      <c r="B44" t="s">
        <v>23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5">
      <c r="G45">
        <f>SUM(G42,G21)</f>
        <v>121</v>
      </c>
      <c r="H45">
        <f t="shared" ref="H45:O45" si="0">SUM(H42,H21)</f>
        <v>135</v>
      </c>
      <c r="I45">
        <f t="shared" si="0"/>
        <v>140</v>
      </c>
      <c r="J45">
        <f t="shared" si="0"/>
        <v>138</v>
      </c>
      <c r="K45">
        <f t="shared" si="0"/>
        <v>119</v>
      </c>
      <c r="L45">
        <f t="shared" si="0"/>
        <v>126</v>
      </c>
      <c r="M45">
        <f t="shared" si="0"/>
        <v>139</v>
      </c>
      <c r="N45">
        <f t="shared" si="0"/>
        <v>146</v>
      </c>
      <c r="O45">
        <f t="shared" si="0"/>
        <v>190</v>
      </c>
    </row>
  </sheetData>
  <mergeCells count="2">
    <mergeCell ref="C2:N2"/>
    <mergeCell ref="B1:O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3EAEE-D9C5-4468-BFC4-FED5EFB3EB5A}">
  <dimension ref="A1:Q46"/>
  <sheetViews>
    <sheetView workbookViewId="0">
      <selection sqref="A1:Q50"/>
    </sheetView>
  </sheetViews>
  <sheetFormatPr baseColWidth="10" defaultColWidth="8.83203125" defaultRowHeight="15"/>
  <sheetData>
    <row r="1" spans="1:17">
      <c r="B1" s="18" t="s">
        <v>26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7">
      <c r="C2" s="16" t="s">
        <v>4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7">
      <c r="C3">
        <v>2012</v>
      </c>
      <c r="D3">
        <v>2013</v>
      </c>
      <c r="E3">
        <v>2014</v>
      </c>
      <c r="F3">
        <v>2015</v>
      </c>
      <c r="G3">
        <v>2016</v>
      </c>
      <c r="H3">
        <v>2017</v>
      </c>
      <c r="I3">
        <v>2018</v>
      </c>
      <c r="J3">
        <v>2019</v>
      </c>
      <c r="K3">
        <v>2020</v>
      </c>
      <c r="L3">
        <v>2021</v>
      </c>
      <c r="M3">
        <v>2022</v>
      </c>
      <c r="N3">
        <v>2023</v>
      </c>
      <c r="O3">
        <v>2024</v>
      </c>
    </row>
    <row r="4" spans="1:17">
      <c r="A4" t="s">
        <v>0</v>
      </c>
      <c r="B4" t="s">
        <v>3</v>
      </c>
    </row>
    <row r="5" spans="1:17">
      <c r="A5" s="6" t="s">
        <v>1</v>
      </c>
      <c r="B5" t="s">
        <v>5</v>
      </c>
      <c r="C5" s="3"/>
      <c r="D5" s="3"/>
      <c r="E5" s="3"/>
      <c r="F5" s="3"/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Q5" s="3"/>
    </row>
    <row r="6" spans="1:17">
      <c r="A6" s="6" t="s">
        <v>1</v>
      </c>
      <c r="B6" s="2" t="s">
        <v>6</v>
      </c>
      <c r="C6" s="3"/>
      <c r="D6" s="3"/>
      <c r="E6" s="3"/>
      <c r="F6" s="4"/>
      <c r="G6">
        <v>0</v>
      </c>
      <c r="H6">
        <v>0</v>
      </c>
      <c r="I6">
        <v>0</v>
      </c>
      <c r="J6" s="3">
        <v>0</v>
      </c>
      <c r="K6" s="3">
        <v>0</v>
      </c>
      <c r="L6">
        <v>0</v>
      </c>
      <c r="M6" s="3">
        <v>0</v>
      </c>
      <c r="N6">
        <v>0</v>
      </c>
      <c r="O6" s="3">
        <v>0</v>
      </c>
      <c r="Q6" s="3"/>
    </row>
    <row r="7" spans="1:17">
      <c r="A7" s="6" t="s">
        <v>1</v>
      </c>
      <c r="B7" s="2" t="s">
        <v>7</v>
      </c>
      <c r="C7" s="3"/>
      <c r="D7" s="3"/>
      <c r="E7" s="4"/>
      <c r="F7" s="3"/>
      <c r="G7">
        <v>0</v>
      </c>
      <c r="H7">
        <v>0</v>
      </c>
      <c r="I7">
        <v>0</v>
      </c>
      <c r="J7" s="3">
        <v>0</v>
      </c>
      <c r="K7" s="3">
        <v>0</v>
      </c>
      <c r="L7">
        <v>0</v>
      </c>
      <c r="M7" s="3">
        <v>0</v>
      </c>
      <c r="N7">
        <v>0</v>
      </c>
      <c r="O7" s="3">
        <v>0</v>
      </c>
      <c r="Q7" s="3"/>
    </row>
    <row r="8" spans="1:17">
      <c r="A8" s="6" t="s">
        <v>1</v>
      </c>
      <c r="B8" t="s">
        <v>8</v>
      </c>
      <c r="C8" s="4"/>
      <c r="D8" s="3"/>
      <c r="E8" s="4"/>
      <c r="F8" s="4"/>
      <c r="G8">
        <v>0</v>
      </c>
      <c r="H8">
        <v>0</v>
      </c>
      <c r="I8">
        <v>0</v>
      </c>
      <c r="J8" s="3">
        <v>0</v>
      </c>
      <c r="K8" s="3">
        <v>0</v>
      </c>
      <c r="L8">
        <v>0</v>
      </c>
      <c r="M8" s="3">
        <v>0</v>
      </c>
      <c r="N8">
        <v>0</v>
      </c>
      <c r="O8" s="3">
        <v>0</v>
      </c>
      <c r="Q8" s="3"/>
    </row>
    <row r="9" spans="1:17">
      <c r="A9" s="6" t="s">
        <v>1</v>
      </c>
      <c r="B9" t="s">
        <v>9</v>
      </c>
      <c r="C9" s="3"/>
      <c r="D9" s="3"/>
      <c r="E9" s="4"/>
      <c r="F9" s="3"/>
      <c r="G9">
        <v>0</v>
      </c>
      <c r="H9">
        <v>0</v>
      </c>
      <c r="I9">
        <v>0</v>
      </c>
      <c r="J9" s="3">
        <v>0</v>
      </c>
      <c r="K9" s="4">
        <v>0</v>
      </c>
      <c r="L9">
        <v>0</v>
      </c>
      <c r="M9" s="3">
        <v>0</v>
      </c>
      <c r="N9">
        <v>0</v>
      </c>
      <c r="O9" s="3">
        <v>0</v>
      </c>
      <c r="Q9" s="3"/>
    </row>
    <row r="10" spans="1:17">
      <c r="A10" s="6" t="s">
        <v>1</v>
      </c>
      <c r="B10" t="s">
        <v>10</v>
      </c>
      <c r="C10" s="3"/>
      <c r="D10" s="3"/>
      <c r="E10" s="4"/>
      <c r="F10" s="3"/>
      <c r="G10">
        <v>0</v>
      </c>
      <c r="H10">
        <v>0</v>
      </c>
      <c r="I10">
        <v>0</v>
      </c>
      <c r="J10" s="4">
        <v>0</v>
      </c>
      <c r="K10" s="4">
        <v>0</v>
      </c>
      <c r="L10">
        <v>0</v>
      </c>
      <c r="M10" s="4">
        <v>0</v>
      </c>
      <c r="N10">
        <v>0</v>
      </c>
      <c r="O10" s="4">
        <v>0</v>
      </c>
      <c r="Q10" s="4"/>
    </row>
    <row r="11" spans="1:17">
      <c r="A11" s="6" t="s">
        <v>1</v>
      </c>
      <c r="B11" t="s">
        <v>11</v>
      </c>
      <c r="C11" s="4"/>
      <c r="D11" s="4"/>
      <c r="E11" s="4"/>
      <c r="F11" s="3"/>
      <c r="G11">
        <v>0</v>
      </c>
      <c r="H11">
        <v>0</v>
      </c>
      <c r="I11">
        <v>0</v>
      </c>
      <c r="J11" s="4">
        <v>0</v>
      </c>
      <c r="K11" s="4">
        <v>0</v>
      </c>
      <c r="L11">
        <v>0</v>
      </c>
      <c r="M11" s="4">
        <v>0</v>
      </c>
      <c r="N11">
        <v>0</v>
      </c>
      <c r="O11" s="4">
        <v>0</v>
      </c>
      <c r="Q11" s="4"/>
    </row>
    <row r="12" spans="1:17">
      <c r="A12" s="6" t="s">
        <v>1</v>
      </c>
      <c r="B12" t="s">
        <v>12</v>
      </c>
      <c r="C12" s="4"/>
      <c r="D12" s="4"/>
      <c r="E12" s="4"/>
      <c r="F12" s="4"/>
      <c r="G12">
        <v>0</v>
      </c>
      <c r="H12">
        <v>0</v>
      </c>
      <c r="I12">
        <v>0</v>
      </c>
      <c r="J12" s="4">
        <v>0</v>
      </c>
      <c r="K12" s="3">
        <v>0</v>
      </c>
      <c r="L12">
        <v>0</v>
      </c>
      <c r="M12" s="4">
        <v>0</v>
      </c>
      <c r="N12">
        <v>0</v>
      </c>
      <c r="O12" s="3">
        <v>0</v>
      </c>
      <c r="Q12" s="4"/>
    </row>
    <row r="13" spans="1:17">
      <c r="A13" s="6" t="s">
        <v>1</v>
      </c>
      <c r="B13" t="s">
        <v>13</v>
      </c>
      <c r="C13" s="4"/>
      <c r="D13" s="4"/>
      <c r="E13" s="4"/>
      <c r="F13" s="4"/>
      <c r="G13">
        <v>0</v>
      </c>
      <c r="H13">
        <v>0</v>
      </c>
      <c r="I13">
        <v>0</v>
      </c>
      <c r="J13" s="4">
        <v>1</v>
      </c>
      <c r="K13" s="4">
        <v>0</v>
      </c>
      <c r="L13">
        <v>0</v>
      </c>
      <c r="M13" s="4">
        <v>0</v>
      </c>
      <c r="N13">
        <v>0</v>
      </c>
      <c r="O13" s="4">
        <v>0</v>
      </c>
      <c r="Q13" s="4"/>
    </row>
    <row r="14" spans="1:17">
      <c r="A14" s="6" t="s">
        <v>1</v>
      </c>
      <c r="B14" t="s">
        <v>14</v>
      </c>
      <c r="C14" s="4"/>
      <c r="D14" s="4"/>
      <c r="E14" s="4"/>
      <c r="F14" s="4"/>
      <c r="G14">
        <v>0</v>
      </c>
      <c r="H14">
        <v>0</v>
      </c>
      <c r="I14">
        <v>0</v>
      </c>
      <c r="J14" s="4">
        <v>0</v>
      </c>
      <c r="K14" s="4">
        <v>0</v>
      </c>
      <c r="L14">
        <v>0</v>
      </c>
      <c r="M14" s="4">
        <v>0</v>
      </c>
      <c r="N14">
        <v>0</v>
      </c>
      <c r="O14" s="4">
        <v>0</v>
      </c>
      <c r="Q14" s="4"/>
    </row>
    <row r="15" spans="1:17">
      <c r="A15" s="6" t="s">
        <v>1</v>
      </c>
      <c r="B15" t="s">
        <v>15</v>
      </c>
      <c r="C15" s="4"/>
      <c r="D15" s="4"/>
      <c r="E15" s="4"/>
      <c r="F15" s="4"/>
      <c r="G15">
        <v>0</v>
      </c>
      <c r="H15">
        <v>0</v>
      </c>
      <c r="I15">
        <v>0</v>
      </c>
      <c r="J15" s="4">
        <v>0</v>
      </c>
      <c r="K15" s="4">
        <v>0</v>
      </c>
      <c r="L15">
        <v>0</v>
      </c>
      <c r="M15" s="4">
        <v>1</v>
      </c>
      <c r="N15">
        <v>0</v>
      </c>
      <c r="O15" s="4">
        <v>0</v>
      </c>
      <c r="Q15" s="4"/>
    </row>
    <row r="16" spans="1:17">
      <c r="A16" s="6" t="s">
        <v>1</v>
      </c>
      <c r="B16" t="s">
        <v>16</v>
      </c>
      <c r="C16" s="4"/>
      <c r="D16" s="4"/>
      <c r="E16" s="4"/>
      <c r="F16" s="4"/>
      <c r="G16">
        <v>0</v>
      </c>
      <c r="H16">
        <v>0</v>
      </c>
      <c r="I16">
        <v>0</v>
      </c>
      <c r="J16" s="4">
        <v>0</v>
      </c>
      <c r="K16" s="4">
        <v>0</v>
      </c>
      <c r="L16">
        <v>0</v>
      </c>
      <c r="M16" s="4">
        <v>0</v>
      </c>
      <c r="N16">
        <v>0</v>
      </c>
      <c r="O16" s="4">
        <v>0</v>
      </c>
      <c r="Q16" s="4"/>
    </row>
    <row r="17" spans="1:17">
      <c r="A17" s="6" t="s">
        <v>1</v>
      </c>
      <c r="B17" t="s">
        <v>19</v>
      </c>
      <c r="C17" s="4"/>
      <c r="D17" s="4"/>
      <c r="E17" s="4"/>
      <c r="F17" s="4"/>
      <c r="G17">
        <v>0</v>
      </c>
      <c r="H17">
        <v>0</v>
      </c>
      <c r="I17">
        <v>0</v>
      </c>
      <c r="J17" s="4">
        <v>0</v>
      </c>
      <c r="K17" s="4">
        <v>0</v>
      </c>
      <c r="L17">
        <v>0</v>
      </c>
      <c r="M17" s="4">
        <v>0</v>
      </c>
      <c r="N17">
        <v>0</v>
      </c>
      <c r="O17" s="4">
        <v>0</v>
      </c>
      <c r="Q17" s="4"/>
    </row>
    <row r="18" spans="1:17">
      <c r="A18" s="6" t="s">
        <v>1</v>
      </c>
      <c r="B18" t="s">
        <v>17</v>
      </c>
      <c r="C18" s="4"/>
      <c r="D18" s="4"/>
      <c r="E18" s="4"/>
      <c r="F18" s="4"/>
      <c r="G18">
        <v>0</v>
      </c>
      <c r="H18">
        <v>0</v>
      </c>
      <c r="I18">
        <v>0</v>
      </c>
      <c r="J18" s="4">
        <v>0</v>
      </c>
      <c r="K18" s="4">
        <v>0</v>
      </c>
      <c r="L18">
        <v>0</v>
      </c>
      <c r="M18" s="4">
        <v>1</v>
      </c>
      <c r="N18">
        <v>0</v>
      </c>
      <c r="O18" s="4">
        <v>0</v>
      </c>
      <c r="Q18" s="4"/>
    </row>
    <row r="19" spans="1:17">
      <c r="A19" s="6" t="s">
        <v>1</v>
      </c>
      <c r="B19" t="s">
        <v>18</v>
      </c>
      <c r="C19" s="4"/>
      <c r="D19" s="4"/>
      <c r="E19" s="4"/>
      <c r="F19" s="4"/>
      <c r="G19">
        <v>0</v>
      </c>
      <c r="H19">
        <v>0</v>
      </c>
      <c r="I19">
        <v>0</v>
      </c>
      <c r="J19" s="4">
        <v>0</v>
      </c>
      <c r="K19" s="4">
        <v>1</v>
      </c>
      <c r="L19">
        <v>0</v>
      </c>
      <c r="M19" s="4">
        <v>0</v>
      </c>
      <c r="N19">
        <v>0</v>
      </c>
      <c r="O19" s="4">
        <v>0</v>
      </c>
      <c r="Q19" s="4"/>
    </row>
    <row r="20" spans="1:17">
      <c r="A20" s="6" t="s">
        <v>1</v>
      </c>
      <c r="B20" t="s">
        <v>20</v>
      </c>
      <c r="C20" s="4"/>
      <c r="D20" s="4"/>
      <c r="E20" s="4"/>
      <c r="F20" s="4"/>
      <c r="G20">
        <v>0</v>
      </c>
      <c r="H20">
        <v>0</v>
      </c>
      <c r="I20">
        <v>0</v>
      </c>
      <c r="J20" s="4">
        <v>0</v>
      </c>
      <c r="K20" s="4">
        <v>0</v>
      </c>
      <c r="L20">
        <v>0</v>
      </c>
      <c r="M20" s="4">
        <v>0</v>
      </c>
      <c r="N20">
        <v>0</v>
      </c>
      <c r="O20" s="4">
        <v>1</v>
      </c>
      <c r="Q20" s="4"/>
    </row>
    <row r="21" spans="1:17">
      <c r="A21" s="6" t="s">
        <v>1</v>
      </c>
      <c r="B21" t="s">
        <v>21</v>
      </c>
      <c r="C21" s="4"/>
      <c r="D21" s="3"/>
      <c r="E21" s="3"/>
      <c r="F21" s="4"/>
      <c r="G21">
        <v>0</v>
      </c>
      <c r="H21">
        <v>0</v>
      </c>
      <c r="I21">
        <v>0</v>
      </c>
      <c r="J21" s="4">
        <v>0</v>
      </c>
      <c r="K21" s="4">
        <v>0</v>
      </c>
      <c r="L21">
        <v>0</v>
      </c>
      <c r="M21" s="4">
        <v>0</v>
      </c>
      <c r="N21">
        <v>0</v>
      </c>
      <c r="O21" s="4">
        <v>0</v>
      </c>
      <c r="Q21" s="4"/>
    </row>
    <row r="22" spans="1:17">
      <c r="A22" s="6" t="s">
        <v>1</v>
      </c>
      <c r="B22" t="s">
        <v>22</v>
      </c>
      <c r="C22" s="4"/>
      <c r="D22" s="4"/>
      <c r="E22" s="4"/>
      <c r="F22" s="4"/>
      <c r="G22">
        <v>0</v>
      </c>
      <c r="H22">
        <v>0</v>
      </c>
      <c r="I22">
        <v>0</v>
      </c>
      <c r="J22" s="4">
        <v>1</v>
      </c>
      <c r="K22" s="4">
        <v>1</v>
      </c>
      <c r="L22">
        <v>0</v>
      </c>
      <c r="M22" s="4">
        <v>2</v>
      </c>
      <c r="N22">
        <v>0</v>
      </c>
      <c r="O22" s="4">
        <v>1</v>
      </c>
    </row>
    <row r="23" spans="1:17">
      <c r="F23" s="1"/>
      <c r="G23" s="1"/>
      <c r="H23" s="1"/>
      <c r="I23" s="1"/>
      <c r="J23" s="4"/>
      <c r="K23" s="4"/>
      <c r="L23" s="4"/>
      <c r="M23" s="4"/>
      <c r="N23" s="4"/>
    </row>
    <row r="24" spans="1:17">
      <c r="G24" s="1"/>
      <c r="H24" s="1"/>
      <c r="I24" s="1"/>
      <c r="J24" s="4"/>
      <c r="K24" s="4"/>
      <c r="L24" s="4"/>
      <c r="M24" s="4"/>
      <c r="N24" s="4"/>
    </row>
    <row r="25" spans="1:17">
      <c r="A25" s="6" t="s">
        <v>2</v>
      </c>
      <c r="B25" t="s">
        <v>5</v>
      </c>
      <c r="C25" s="3"/>
      <c r="D25" s="3"/>
      <c r="E25" s="3"/>
      <c r="F25" s="3"/>
      <c r="G25">
        <v>0</v>
      </c>
      <c r="H25">
        <v>0</v>
      </c>
      <c r="I25" s="12">
        <v>0</v>
      </c>
      <c r="J25">
        <v>0</v>
      </c>
      <c r="K25" s="12">
        <v>0</v>
      </c>
      <c r="L25">
        <v>0</v>
      </c>
      <c r="M25">
        <v>0</v>
      </c>
      <c r="N25">
        <v>0</v>
      </c>
      <c r="O25">
        <v>0</v>
      </c>
    </row>
    <row r="26" spans="1:17">
      <c r="A26" s="6" t="s">
        <v>2</v>
      </c>
      <c r="B26" s="2" t="s">
        <v>6</v>
      </c>
      <c r="C26" s="3"/>
      <c r="D26" s="3"/>
      <c r="E26" s="3"/>
      <c r="F26" s="3"/>
      <c r="G26">
        <v>0</v>
      </c>
      <c r="H26">
        <v>0</v>
      </c>
      <c r="I26" s="12">
        <v>0</v>
      </c>
      <c r="J26">
        <v>0</v>
      </c>
      <c r="K26" s="12">
        <v>0</v>
      </c>
      <c r="L26">
        <v>0</v>
      </c>
      <c r="M26">
        <v>0</v>
      </c>
      <c r="N26">
        <v>0</v>
      </c>
      <c r="O26">
        <v>0</v>
      </c>
    </row>
    <row r="27" spans="1:17">
      <c r="A27" s="6" t="s">
        <v>2</v>
      </c>
      <c r="B27" s="2" t="s">
        <v>7</v>
      </c>
      <c r="C27" s="4"/>
      <c r="D27" s="4"/>
      <c r="E27" s="3"/>
      <c r="F27" s="3"/>
      <c r="G27">
        <v>0</v>
      </c>
      <c r="H27">
        <v>0</v>
      </c>
      <c r="I27" s="12">
        <v>0</v>
      </c>
      <c r="J27">
        <v>0</v>
      </c>
      <c r="K27" s="12">
        <v>0</v>
      </c>
      <c r="L27">
        <v>0</v>
      </c>
      <c r="M27">
        <v>0</v>
      </c>
      <c r="N27">
        <v>0</v>
      </c>
      <c r="O27">
        <v>0</v>
      </c>
    </row>
    <row r="28" spans="1:17">
      <c r="A28" s="6" t="s">
        <v>2</v>
      </c>
      <c r="B28" t="s">
        <v>8</v>
      </c>
      <c r="C28" s="3"/>
      <c r="D28" s="4"/>
      <c r="E28" s="3"/>
      <c r="F28" s="3"/>
      <c r="G28">
        <v>0</v>
      </c>
      <c r="H28">
        <v>0</v>
      </c>
      <c r="I28" s="12">
        <v>0</v>
      </c>
      <c r="J28">
        <v>0</v>
      </c>
      <c r="K28" s="12">
        <v>0</v>
      </c>
      <c r="L28">
        <v>0</v>
      </c>
      <c r="M28">
        <v>0</v>
      </c>
      <c r="N28">
        <v>0</v>
      </c>
      <c r="O28">
        <v>0</v>
      </c>
    </row>
    <row r="29" spans="1:17">
      <c r="A29" s="6" t="s">
        <v>2</v>
      </c>
      <c r="B29" t="s">
        <v>9</v>
      </c>
      <c r="C29" s="4"/>
      <c r="D29" s="3"/>
      <c r="E29" s="3"/>
      <c r="F29" s="3"/>
      <c r="G29">
        <v>0</v>
      </c>
      <c r="H29">
        <v>0</v>
      </c>
      <c r="I29" s="12">
        <v>0</v>
      </c>
      <c r="J29">
        <v>0</v>
      </c>
      <c r="K29" s="12">
        <v>0</v>
      </c>
      <c r="L29">
        <v>0</v>
      </c>
      <c r="M29">
        <v>0</v>
      </c>
      <c r="N29">
        <v>0</v>
      </c>
      <c r="O29">
        <v>0</v>
      </c>
    </row>
    <row r="30" spans="1:17">
      <c r="A30" s="6" t="s">
        <v>2</v>
      </c>
      <c r="B30" t="s">
        <v>10</v>
      </c>
      <c r="C30" s="3"/>
      <c r="D30" s="3"/>
      <c r="E30" s="3"/>
      <c r="F30" s="3"/>
      <c r="G30">
        <v>0</v>
      </c>
      <c r="H30">
        <v>0</v>
      </c>
      <c r="I30" s="12">
        <v>0</v>
      </c>
      <c r="J30">
        <v>0</v>
      </c>
      <c r="K30" s="12">
        <v>0</v>
      </c>
      <c r="L30">
        <v>0</v>
      </c>
      <c r="M30">
        <v>0</v>
      </c>
      <c r="N30">
        <v>0</v>
      </c>
      <c r="O30">
        <v>0</v>
      </c>
    </row>
    <row r="31" spans="1:17">
      <c r="A31" s="6" t="s">
        <v>2</v>
      </c>
      <c r="B31" t="s">
        <v>11</v>
      </c>
      <c r="C31" s="4"/>
      <c r="D31" s="4"/>
      <c r="E31" s="4"/>
      <c r="F31" s="4"/>
      <c r="G31">
        <v>0</v>
      </c>
      <c r="H31">
        <v>0</v>
      </c>
      <c r="I31" s="12">
        <v>0</v>
      </c>
      <c r="J31">
        <v>0</v>
      </c>
      <c r="K31" s="12">
        <v>0</v>
      </c>
      <c r="L31">
        <v>0</v>
      </c>
      <c r="M31">
        <v>0</v>
      </c>
      <c r="N31">
        <v>0</v>
      </c>
      <c r="O31">
        <v>0</v>
      </c>
    </row>
    <row r="32" spans="1:17">
      <c r="A32" s="6" t="s">
        <v>2</v>
      </c>
      <c r="B32" t="s">
        <v>12</v>
      </c>
      <c r="C32" s="4"/>
      <c r="D32" s="4"/>
      <c r="E32" s="3"/>
      <c r="F32" s="4"/>
      <c r="G32">
        <v>0</v>
      </c>
      <c r="H32">
        <v>0</v>
      </c>
      <c r="I32" s="12">
        <v>0</v>
      </c>
      <c r="J32">
        <v>0</v>
      </c>
      <c r="K32" s="12">
        <v>0</v>
      </c>
      <c r="L32">
        <v>0</v>
      </c>
      <c r="M32">
        <v>0</v>
      </c>
      <c r="N32">
        <v>0</v>
      </c>
      <c r="O32">
        <v>0</v>
      </c>
    </row>
    <row r="33" spans="1:15">
      <c r="A33" s="6" t="s">
        <v>2</v>
      </c>
      <c r="B33" t="s">
        <v>13</v>
      </c>
      <c r="C33" s="4"/>
      <c r="D33" s="4"/>
      <c r="E33" s="4"/>
      <c r="F33" s="4"/>
      <c r="G33">
        <v>0</v>
      </c>
      <c r="H33">
        <v>0</v>
      </c>
      <c r="I33" s="12">
        <v>0</v>
      </c>
      <c r="J33">
        <v>0</v>
      </c>
      <c r="K33" s="12">
        <v>0</v>
      </c>
      <c r="L33">
        <v>0</v>
      </c>
      <c r="M33">
        <v>0</v>
      </c>
      <c r="N33">
        <v>0</v>
      </c>
      <c r="O33">
        <v>0</v>
      </c>
    </row>
    <row r="34" spans="1:15">
      <c r="A34" s="6" t="s">
        <v>2</v>
      </c>
      <c r="B34" t="s">
        <v>14</v>
      </c>
      <c r="C34" s="4"/>
      <c r="D34" s="4"/>
      <c r="E34" s="4"/>
      <c r="F34" s="4"/>
      <c r="G34">
        <v>0</v>
      </c>
      <c r="H34">
        <v>0</v>
      </c>
      <c r="I34" s="12">
        <v>0</v>
      </c>
      <c r="J34">
        <v>0</v>
      </c>
      <c r="K34" s="12">
        <v>0</v>
      </c>
      <c r="L34">
        <v>0</v>
      </c>
      <c r="M34">
        <v>0</v>
      </c>
      <c r="N34">
        <v>0</v>
      </c>
      <c r="O34">
        <v>0</v>
      </c>
    </row>
    <row r="35" spans="1:15">
      <c r="A35" s="6" t="s">
        <v>2</v>
      </c>
      <c r="B35" t="s">
        <v>15</v>
      </c>
      <c r="C35" s="4"/>
      <c r="D35" s="4"/>
      <c r="E35" s="4"/>
      <c r="F35" s="4"/>
      <c r="G35">
        <v>0</v>
      </c>
      <c r="H35">
        <v>0</v>
      </c>
      <c r="I35" s="12">
        <v>0</v>
      </c>
      <c r="J35">
        <v>0</v>
      </c>
      <c r="K35" s="12">
        <v>0</v>
      </c>
      <c r="L35">
        <v>0</v>
      </c>
      <c r="M35">
        <v>0</v>
      </c>
      <c r="N35">
        <v>0</v>
      </c>
      <c r="O35">
        <v>0</v>
      </c>
    </row>
    <row r="36" spans="1:15">
      <c r="A36" s="6" t="s">
        <v>2</v>
      </c>
      <c r="B36" t="s">
        <v>16</v>
      </c>
      <c r="C36" s="4"/>
      <c r="D36" s="4"/>
      <c r="E36" s="4"/>
      <c r="F36" s="4"/>
      <c r="G36">
        <v>0</v>
      </c>
      <c r="H36">
        <v>0</v>
      </c>
      <c r="I36" s="12">
        <v>0</v>
      </c>
      <c r="J36">
        <v>0</v>
      </c>
      <c r="K36" s="12">
        <v>0</v>
      </c>
      <c r="L36">
        <v>0</v>
      </c>
      <c r="M36">
        <v>0</v>
      </c>
      <c r="N36">
        <v>0</v>
      </c>
      <c r="O36">
        <v>0</v>
      </c>
    </row>
    <row r="37" spans="1:15">
      <c r="A37" s="6" t="s">
        <v>2</v>
      </c>
      <c r="B37" t="s">
        <v>19</v>
      </c>
      <c r="C37" s="4"/>
      <c r="D37" s="4"/>
      <c r="E37" s="4"/>
      <c r="F37" s="4"/>
      <c r="G37">
        <v>0</v>
      </c>
      <c r="H37">
        <v>0</v>
      </c>
      <c r="I37" s="12">
        <v>1</v>
      </c>
      <c r="J37">
        <v>0</v>
      </c>
      <c r="K37" s="12">
        <v>1</v>
      </c>
      <c r="L37">
        <v>0</v>
      </c>
      <c r="M37">
        <v>0</v>
      </c>
      <c r="N37">
        <v>0</v>
      </c>
      <c r="O37">
        <v>0</v>
      </c>
    </row>
    <row r="38" spans="1:15">
      <c r="A38" s="6" t="s">
        <v>2</v>
      </c>
      <c r="B38" t="s">
        <v>17</v>
      </c>
      <c r="C38" s="4"/>
      <c r="D38" s="4"/>
      <c r="E38" s="4"/>
      <c r="F38" s="4"/>
      <c r="G38">
        <v>0</v>
      </c>
      <c r="H38">
        <v>0</v>
      </c>
      <c r="I38" s="12">
        <v>0</v>
      </c>
      <c r="J38">
        <v>0</v>
      </c>
      <c r="K38" s="12">
        <v>0</v>
      </c>
      <c r="L38">
        <v>0</v>
      </c>
      <c r="M38">
        <v>0</v>
      </c>
      <c r="N38">
        <v>0</v>
      </c>
      <c r="O38">
        <v>0</v>
      </c>
    </row>
    <row r="39" spans="1:15">
      <c r="A39" s="6" t="s">
        <v>2</v>
      </c>
      <c r="B39" t="s">
        <v>18</v>
      </c>
      <c r="C39" s="4"/>
      <c r="D39" s="4"/>
      <c r="E39" s="4"/>
      <c r="F39" s="4"/>
      <c r="G39">
        <v>0</v>
      </c>
      <c r="H39">
        <v>0</v>
      </c>
      <c r="I39" s="12">
        <v>0</v>
      </c>
      <c r="J39">
        <v>0</v>
      </c>
      <c r="K39" s="12">
        <v>0</v>
      </c>
      <c r="L39">
        <v>0</v>
      </c>
      <c r="M39">
        <v>0</v>
      </c>
      <c r="N39">
        <v>0</v>
      </c>
      <c r="O39">
        <v>0</v>
      </c>
    </row>
    <row r="40" spans="1:15">
      <c r="A40" s="6" t="s">
        <v>2</v>
      </c>
      <c r="B40" t="s">
        <v>20</v>
      </c>
      <c r="C40" s="4"/>
      <c r="D40" s="4"/>
      <c r="E40" s="4"/>
      <c r="F40" s="4"/>
      <c r="G40">
        <v>0</v>
      </c>
      <c r="H40">
        <v>0</v>
      </c>
      <c r="I40" s="12">
        <v>0</v>
      </c>
      <c r="J40">
        <v>0</v>
      </c>
      <c r="K40" s="12">
        <v>0</v>
      </c>
      <c r="L40">
        <v>0</v>
      </c>
      <c r="M40">
        <v>0</v>
      </c>
      <c r="N40">
        <v>0</v>
      </c>
      <c r="O40">
        <v>0</v>
      </c>
    </row>
    <row r="41" spans="1:15">
      <c r="A41" s="6" t="s">
        <v>2</v>
      </c>
      <c r="B41" t="s">
        <v>21</v>
      </c>
      <c r="C41" s="4"/>
      <c r="D41" s="4"/>
      <c r="E41" s="4"/>
      <c r="F41" s="4"/>
      <c r="G41">
        <v>0</v>
      </c>
      <c r="H41">
        <v>0</v>
      </c>
      <c r="I41" s="12">
        <v>0</v>
      </c>
      <c r="J41">
        <v>0</v>
      </c>
      <c r="K41" s="12">
        <v>0</v>
      </c>
      <c r="L41">
        <v>0</v>
      </c>
      <c r="M41">
        <v>0</v>
      </c>
      <c r="N41">
        <v>0</v>
      </c>
      <c r="O41">
        <v>0</v>
      </c>
    </row>
    <row r="42" spans="1:15">
      <c r="A42" s="6" t="s">
        <v>2</v>
      </c>
      <c r="B42" t="s">
        <v>22</v>
      </c>
      <c r="C42" s="4"/>
      <c r="D42" s="4"/>
      <c r="E42" s="4"/>
      <c r="F42" s="4"/>
      <c r="G42">
        <v>0</v>
      </c>
      <c r="H42">
        <v>0</v>
      </c>
      <c r="I42" s="12">
        <v>1</v>
      </c>
      <c r="J42">
        <v>0</v>
      </c>
      <c r="K42" s="12">
        <v>1</v>
      </c>
      <c r="L42">
        <v>0</v>
      </c>
      <c r="M42">
        <v>0</v>
      </c>
      <c r="N42">
        <v>0</v>
      </c>
      <c r="O42">
        <v>0</v>
      </c>
    </row>
    <row r="43" spans="1:15">
      <c r="G43" s="4"/>
      <c r="H43" s="4"/>
      <c r="I43" s="4"/>
      <c r="J43" s="4"/>
      <c r="K43" s="4"/>
      <c r="L43" s="4"/>
      <c r="M43" s="4"/>
      <c r="N43" s="4"/>
    </row>
    <row r="44" spans="1:15">
      <c r="B44" t="s">
        <v>23</v>
      </c>
      <c r="C44" s="4"/>
      <c r="D44" s="4"/>
      <c r="E44" s="4"/>
      <c r="F44" s="4"/>
      <c r="G44">
        <f>SUM(G42,G22)</f>
        <v>0</v>
      </c>
      <c r="H44">
        <f t="shared" ref="H44:O44" si="0">SUM(H42,H22)</f>
        <v>0</v>
      </c>
      <c r="I44">
        <f t="shared" si="0"/>
        <v>1</v>
      </c>
      <c r="J44">
        <f t="shared" si="0"/>
        <v>1</v>
      </c>
      <c r="K44">
        <f t="shared" si="0"/>
        <v>2</v>
      </c>
      <c r="L44">
        <f t="shared" si="0"/>
        <v>0</v>
      </c>
      <c r="M44">
        <f t="shared" si="0"/>
        <v>2</v>
      </c>
      <c r="N44">
        <f t="shared" si="0"/>
        <v>0</v>
      </c>
      <c r="O44">
        <f t="shared" si="0"/>
        <v>1</v>
      </c>
    </row>
    <row r="45" spans="1:15">
      <c r="G45" s="4"/>
      <c r="H45" s="4"/>
      <c r="I45" s="4"/>
    </row>
    <row r="46" spans="1:15">
      <c r="J46" s="4"/>
      <c r="K46" s="4"/>
      <c r="L46" s="4"/>
      <c r="M46" s="4"/>
      <c r="N46" s="4"/>
    </row>
  </sheetData>
  <mergeCells count="2">
    <mergeCell ref="C2:N2"/>
    <mergeCell ref="B1:O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TAVI volume</vt:lpstr>
      <vt:lpstr>TAVI STS score distribution</vt:lpstr>
      <vt:lpstr>SAVR volume</vt:lpstr>
      <vt:lpstr>Redo SAVR volume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 Jin Ahn</dc:creator>
  <cp:lastModifiedBy>Microsoft Office User</cp:lastModifiedBy>
  <dcterms:created xsi:type="dcterms:W3CDTF">2025-06-15T14:25:22Z</dcterms:created>
  <dcterms:modified xsi:type="dcterms:W3CDTF">2025-12-19T10:23:58Z</dcterms:modified>
</cp:coreProperties>
</file>